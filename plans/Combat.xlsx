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at Turn" sheetId="1" r:id="rId5"/>
    <sheet state="visible" name="Tables" sheetId="2" r:id="rId6"/>
    <sheet state="visible" name="Actions" sheetId="3" r:id="rId7"/>
    <sheet state="visible" name="Vehicle Actions" sheetId="4" r:id="rId8"/>
    <sheet state="visible" name="Ambushes" sheetId="5" r:id="rId9"/>
    <sheet state="visible" name="Barriers" sheetId="6" r:id="rId10"/>
  </sheets>
  <definedNames/>
  <calcPr/>
</workbook>
</file>

<file path=xl/sharedStrings.xml><?xml version="1.0" encoding="utf-8"?>
<sst xmlns="http://schemas.openxmlformats.org/spreadsheetml/2006/main" count="395" uniqueCount="311">
  <si>
    <t>Combat Turn Sequence</t>
  </si>
  <si>
    <t>All Dice Pools Refresh</t>
  </si>
  <si>
    <t>All the various Dice Pools of all the characters involved refresh. Karma Pools refresh every 24 hours, or at the GM’s discretion. For Vehicles, determine starting distances and terrain.</t>
  </si>
  <si>
    <t>Determine Initiative</t>
  </si>
  <si>
    <t>Determine Initiative for all the characters, critters, spirits, and anything else involved in the fight. The order of Initiative Scores from high to low determines the order in which the action will take place.</t>
  </si>
  <si>
    <t>Characters Take Actions in Their Combat Phase</t>
  </si>
  <si>
    <t>Characters involved in the combat now take their actions sequentially in the first Initiative Pass, starting with the character who has the highest Initiative Score. This character is the acting character.</t>
  </si>
  <si>
    <t>A</t>
  </si>
  <si>
    <t>Declare Actions</t>
  </si>
  <si>
    <t>The acting character declares his actions for the Combat Phase. He may make Free, Simple and Complex Actions, in any order. If a character has delayed an action and wishes to act during this Combat Phase, he must declare it at this point.</t>
  </si>
  <si>
    <t>B</t>
  </si>
  <si>
    <t>Resolve Actions</t>
  </si>
  <si>
    <t>Resolve the actions of the acting character.</t>
  </si>
  <si>
    <t>i</t>
  </si>
  <si>
    <t>Ranged Combat</t>
  </si>
  <si>
    <t>a</t>
  </si>
  <si>
    <t>Determine Range</t>
  </si>
  <si>
    <t>Count the number of yards to the target and compare the weapon type to the appropriate range column on the Weapon Range Table. The number listed above the column is the base target number for the attacker’s Success Test.</t>
  </si>
  <si>
    <t>b</t>
  </si>
  <si>
    <t>Apply Situational Modifiers</t>
  </si>
  <si>
    <t>Consult the Ranged Combat Modifiers and Visibility Tables and apply appropriate situation modifiers.</t>
  </si>
  <si>
    <t>c</t>
  </si>
  <si>
    <t>Make Attacker's Success Test</t>
  </si>
  <si>
    <t>The attacker makes his or her Success Test using the appropriate Combat Skill, modified by dice from the character’s Combat Pool. Count the successes the attacker rolls.</t>
  </si>
  <si>
    <t>d</t>
  </si>
  <si>
    <t>Resolve Dodge Test</t>
  </si>
  <si>
    <t>If the target wishes to attempt to dodge an attack, he may use the Combat Pool against a Target Number 4, with modifiers. Count the successes the target rolls. A clean miss occurs if the number of successes from the target’s Combat Pool dice exceeds the attacker’s successes.</t>
  </si>
  <si>
    <t>e</t>
  </si>
  <si>
    <t>Resolve Target's Damage Resistance Test</t>
  </si>
  <si>
    <t>The target makes his or her Damage Resistance Test using Body dice and Combat Pool dice against a target number equal to the Power Rating of the weapon used, minus the target’s Armor Rating. Count the successes the target rolls.</t>
  </si>
  <si>
    <t>f</t>
  </si>
  <si>
    <t>Determine Outcome</t>
  </si>
  <si>
    <t>Compare the attacker’s and target’s successes (including both Dodge and Damage Resistance successes). Depending on which character rolls the higher number of net successes, the weapon damage is reduced or increased (staged up or down) appropriately. A tie means the attacker inflicts the weapon’s base damage.</t>
  </si>
  <si>
    <t>g</t>
  </si>
  <si>
    <t>Apply Damage</t>
  </si>
  <si>
    <t>Stage the weapon’s damage accordingly and apply it to the target.</t>
  </si>
  <si>
    <t>ii</t>
  </si>
  <si>
    <t>Melee Combat</t>
  </si>
  <si>
    <t>Consult the Melee Modifiers and Visibility Tables and apply appropriate situation modifiers.</t>
  </si>
  <si>
    <t>Roll the attacker’s base Combat Skill dice, augmented by dice from his Combat Pool, against a base Target Number 4, modified as appropriate. Count the successes.</t>
  </si>
  <si>
    <t>Make Defender's Success Test</t>
  </si>
  <si>
    <t>Roll the defender’s base Combat Skill dice, augmented by dice from his Combat Pool, against a base Target Number 4, modified as appropriate. Count the successes.</t>
  </si>
  <si>
    <t>Compare Successes</t>
  </si>
  <si>
    <t>The character who rolls the most successes has hit his or her opponent. A tie goes in favor of the attacker.</t>
  </si>
  <si>
    <t>Determine Damage</t>
  </si>
  <si>
    <t>The character who hit can increase the Damage Level of his or her attack by one level for every two successes he rolls above his opponent’s success total. If the Damage Level has been increased to Deadly, extra successes can be used to stage the Power Rating up. For every two successes the Power Rating increases by one.</t>
  </si>
  <si>
    <t>Resist Damage</t>
  </si>
  <si>
    <t>Roll the target character’s Body dice against a target number equal to the attacker’s Power (weapon-modified Strength), minus the target’s Impact Armor Rating. For every two successes rolled, reduce the Damage Level by one level.</t>
  </si>
  <si>
    <t>iii</t>
  </si>
  <si>
    <t>Spell Combat</t>
  </si>
  <si>
    <t>Preparation</t>
  </si>
  <si>
    <t>Choose the spell or spells to be cast, the Force of the spell, how many Spell Pool dice will be used, and whether the character is sustaining or dropping any sustained spells. Choose the number of Sorcery dice allocated to the spellcasting. Determine the radius of effect for area spells.</t>
  </si>
  <si>
    <t>Spell Targeting</t>
  </si>
  <si>
    <t>The caster must be able to see the target and must be present on the same plane (physical or astral) as the target.</t>
  </si>
  <si>
    <t>Apply +2 to TN to Sorcery test for each sustained spell, cover and visibility modifiers for most Manipulation spells, for each extra spells cast during same Complex Action Sorcery and Spell Pool dice must be split among spells , and any withheld Sorcery dice for modifying the area effect (-1 yard per 2 dice withheld and +1 yard per 1 die withheld)</t>
  </si>
  <si>
    <t>Sorcery Test</t>
  </si>
  <si>
    <t>The Caster makes his or her Success Test using the Sorcery skill, modified by dice from the character’s Spell Pool. No more Spell Pool can be added than the number of Sorcery dice used. Count the successes the Caster rolls. Most Manipulation spells work as Ranged Combat</t>
  </si>
  <si>
    <t>Spell Resistance Test</t>
  </si>
  <si>
    <t>The target makes a Resistance Test using the targeted Attribute (usually Body, Intelligence or Willpower). The target number of the test is the Force of the spell. No target modifiers apply to this test except where specifically noted. Most Manipulation spells are resisted as Ranged Combat attacks.</t>
  </si>
  <si>
    <t>Spell Effect</t>
  </si>
  <si>
    <t>If the target generated the same number or more successes than the caster, the spell does not affect the target. If the caster generates more successes, the spell has an effect. Consult the description of the spell for specific effects. Many Manipulation spells will stage damage as Ranged Combat attacks.</t>
  </si>
  <si>
    <t>Drain Resistance Test</t>
  </si>
  <si>
    <t>Roll the caster’s Willpower dice, plus any Spell Pool dice allocated to the Drain Resistance Test. The target number is the Force of the spell, divided by 2 (rounded down) plus any Drain Modifier to the spell’s Drain Code. Add +2 to the TN for each spell sustained. For multiple castings in same Complex Action add +2 to TN for each extra spell cast; each spell must be resisted separately with this modifier.</t>
  </si>
  <si>
    <t>iv</t>
  </si>
  <si>
    <t>Vehicle Combat</t>
  </si>
  <si>
    <t>Consult the Driving Test Modifiers, Vehicle Damage Modifiers, Crash Test Modifiers, Vehicle Condition Monitor tables and any tables related to the driver.</t>
  </si>
  <si>
    <t>Characters take actions and resolve results</t>
  </si>
  <si>
    <t>A Driver can perform the following Complex Actions; Accelerating/Braking, Positioning, Ramming. Passengers can perform regular actions as normal.</t>
  </si>
  <si>
    <t>C</t>
  </si>
  <si>
    <t>Declare and Resolve Actions of Remaining Characters</t>
  </si>
  <si>
    <t>Move on to any other characters acting in that Combat Phase and repeat Step B for them in the proper order. Once all eligible characters have acted in that Combat Phase, move on to the Combat Phase of the character with the next highest Initiative Score and resolve the actions of that Combat Phase, starting with Step A above. Continue repeating steps A through C until the actions of all characters have been resolved for that Initiative Pass. After resolving all actions, determine changes in speed of and distances between vehicles, and any changes in terrain.</t>
  </si>
  <si>
    <t>D</t>
  </si>
  <si>
    <t>Calculate the Next Initiative Pass</t>
  </si>
  <si>
    <t>Once all of the characters have acted and all of the actions have been resolved for that Initiative Pass, the GM subtracts 10 from each character’s Initiative Score and calculates the order for the next Initiative Pass. Step 3 is then repeated. If a character’s Initiative Score is equal to or less than zero, the character takes no more actions for that Combat Turn.</t>
  </si>
  <si>
    <t>Begin a New Combat Turn</t>
  </si>
  <si>
    <t>Begin a new Combat Turn, starting again at Step 1. Continue repeating steps 1 through 3 until the combat ends. Any unused dice in a character’s dice pools do not carry over to the next Combat Turn (except Karma Pool).</t>
  </si>
  <si>
    <t>Projectile Weapons Table</t>
  </si>
  <si>
    <t>Ranged Combat Modifiers Table</t>
  </si>
  <si>
    <t>Type</t>
  </si>
  <si>
    <t>Strength Minimum*</t>
  </si>
  <si>
    <t>Damage Code</t>
  </si>
  <si>
    <t>Situation</t>
  </si>
  <si>
    <t>Modifier</t>
  </si>
  <si>
    <t>Standard Bow</t>
  </si>
  <si>
    <t>1+</t>
  </si>
  <si>
    <t>(STR Min+2)M</t>
  </si>
  <si>
    <t>Blind Fire</t>
  </si>
  <si>
    <t>+8</t>
  </si>
  <si>
    <t>Light Crossbow</t>
  </si>
  <si>
    <t>6L</t>
  </si>
  <si>
    <t>Partial Cover</t>
  </si>
  <si>
    <t>+4</t>
  </si>
  <si>
    <t>Medium Crossbow</t>
  </si>
  <si>
    <t>6M</t>
  </si>
  <si>
    <t>Visibility Impaired</t>
  </si>
  <si>
    <t>See Visibility Table</t>
  </si>
  <si>
    <t>Heavy Crossbow</t>
  </si>
  <si>
    <t>6S</t>
  </si>
  <si>
    <t>Target Running</t>
  </si>
  <si>
    <t>+2</t>
  </si>
  <si>
    <t>Throwing Knife</t>
  </si>
  <si>
    <t>NA</t>
  </si>
  <si>
    <t>(STR)L</t>
  </si>
  <si>
    <t>Target Stationary</t>
  </si>
  <si>
    <t>-1</t>
  </si>
  <si>
    <t>Shuriken</t>
  </si>
  <si>
    <t>Attacker in Melee Combat</t>
  </si>
  <si>
    <t>+2 per Opponent</t>
  </si>
  <si>
    <t>* +1 TN per point lower than Strength Minimum</t>
  </si>
  <si>
    <t>Attacker Running</t>
  </si>
  <si>
    <t>Attacker Running (difficult ground)</t>
  </si>
  <si>
    <t>+6</t>
  </si>
  <si>
    <t>Weapon Range Table</t>
  </si>
  <si>
    <t>Attacker Walking</t>
  </si>
  <si>
    <t>+1</t>
  </si>
  <si>
    <t>Weapon
 (range in yards)</t>
  </si>
  <si>
    <t>4
 Short Range</t>
  </si>
  <si>
    <t>5
 Medium Range</t>
  </si>
  <si>
    <t>6
 Long Range</t>
  </si>
  <si>
    <t>9
 Extreme Range</t>
  </si>
  <si>
    <t>Attacker Walking (difficult ground)</t>
  </si>
  <si>
    <t>Bow</t>
  </si>
  <si>
    <t>0-STR</t>
  </si>
  <si>
    <t>To STRx10</t>
  </si>
  <si>
    <t>To STRx30</t>
  </si>
  <si>
    <t>To STRx60</t>
  </si>
  <si>
    <t>Attacker Wounded</t>
  </si>
  <si>
    <t>See Damage Modifiers Table</t>
  </si>
  <si>
    <t>0-STRx2</t>
  </si>
  <si>
    <t>To STRx8</t>
  </si>
  <si>
    <t>To STRx20</t>
  </si>
  <si>
    <t>To STRx40</t>
  </si>
  <si>
    <t>Aimed Shot</t>
  </si>
  <si>
    <t>-1 per Simple Action</t>
  </si>
  <si>
    <t>0-STRx3</t>
  </si>
  <si>
    <t>To STRx12</t>
  </si>
  <si>
    <t>To STRx50</t>
  </si>
  <si>
    <t>Called Shot</t>
  </si>
  <si>
    <t>0-STRx5</t>
  </si>
  <si>
    <t>To STRx15</t>
  </si>
  <si>
    <t>Thrown Knife</t>
  </si>
  <si>
    <t>To STRx2</t>
  </si>
  <si>
    <t>To STRx3</t>
  </si>
  <si>
    <t>To STRx5</t>
  </si>
  <si>
    <t>Visibility Table</t>
  </si>
  <si>
    <t>To STRx7</t>
  </si>
  <si>
    <t>Condition</t>
  </si>
  <si>
    <t>Normal Vision</t>
  </si>
  <si>
    <t>Low-light Vision</t>
  </si>
  <si>
    <t>Full Darkness</t>
  </si>
  <si>
    <t>Melee Modifiers Table</t>
  </si>
  <si>
    <t>Minimal Light*</t>
  </si>
  <si>
    <t>Partial Light*</t>
  </si>
  <si>
    <t>Glare*</t>
  </si>
  <si>
    <t>Character has more friends in the melee</t>
  </si>
  <si>
    <t>Mist*</t>
  </si>
  <si>
    <t>Opponent has more friends in the melee</t>
  </si>
  <si>
    <t>Light Smoke/Fog/Rain*</t>
  </si>
  <si>
    <t>Heavy Smoke/Fog/Rain*</t>
  </si>
  <si>
    <t>Character wounded</t>
  </si>
  <si>
    <t>*1/2 modifier for melee</t>
  </si>
  <si>
    <t>Character's weapon has longer reach*</t>
  </si>
  <si>
    <t>-1/point longer</t>
  </si>
  <si>
    <t>Character's weapon has inferior reach*</t>
  </si>
  <si>
    <t>+1/point shorter</t>
  </si>
  <si>
    <t>Vehicle Damage Modifiers Table</t>
  </si>
  <si>
    <t>Character attacking multiple targets**^</t>
  </si>
  <si>
    <t>+2/target</t>
  </si>
  <si>
    <t>Vehicle Damage Level</t>
  </si>
  <si>
    <t>Target Number Modifier</t>
  </si>
  <si>
    <t>Initiative Penalty</t>
  </si>
  <si>
    <t>Speed Rating Reduction</t>
  </si>
  <si>
    <t>Character has superior position</t>
  </si>
  <si>
    <t>Light</t>
  </si>
  <si>
    <t>No reduction</t>
  </si>
  <si>
    <t>Opponent prone</t>
  </si>
  <si>
    <t>-2</t>
  </si>
  <si>
    <t>Moderate</t>
  </si>
  <si>
    <t>*Only one of these modifiers may be applied, either to the attacker or defender</t>
  </si>
  <si>
    <t>Serious</t>
  </si>
  <si>
    <t>+3</t>
  </si>
  <si>
    <t>-3</t>
  </si>
  <si>
    <t>**Combat Pool must be applied separately per opponent</t>
  </si>
  <si>
    <t>^Penalty is applied to each consecutive opponent at an increasing +2 TN to each opponent after the first</t>
  </si>
  <si>
    <t>Crash Test Modifiers Table</t>
  </si>
  <si>
    <t>Driving Test Modifiers Table</t>
  </si>
  <si>
    <t>Driver Wounded</t>
  </si>
  <si>
    <t>+ Damage Modifier</t>
  </si>
  <si>
    <t>Non-Stressful Situation</t>
  </si>
  <si>
    <t>Vehicle Damaged</t>
  </si>
  <si>
    <t>Stressful Situation</t>
  </si>
  <si>
    <t>GM discretion</t>
  </si>
  <si>
    <t>Terrain</t>
  </si>
  <si>
    <t>Weather Condition</t>
  </si>
  <si>
    <t>Open</t>
  </si>
  <si>
    <t>Bad</t>
  </si>
  <si>
    <t>Normal</t>
  </si>
  <si>
    <t>Terrible</t>
  </si>
  <si>
    <t>Restricted</t>
  </si>
  <si>
    <t>Tight</t>
  </si>
  <si>
    <t>Vehicle Speed</t>
  </si>
  <si>
    <t>31-40</t>
  </si>
  <si>
    <t>Vehicle Exceeds Speed Rating</t>
  </si>
  <si>
    <t>+1 per increment</t>
  </si>
  <si>
    <t>41+</t>
  </si>
  <si>
    <t>Impact Damage Levels Table</t>
  </si>
  <si>
    <t>Vehicle Speed (yards/turn)</t>
  </si>
  <si>
    <t>Damage Level</t>
  </si>
  <si>
    <t>Light (L)</t>
  </si>
  <si>
    <t>Moderate (M)</t>
  </si>
  <si>
    <t>Serious (S)</t>
  </si>
  <si>
    <t>Destroyed (D)</t>
  </si>
  <si>
    <t>Actions</t>
  </si>
  <si>
    <t>Free Actions</t>
  </si>
  <si>
    <t>Simple Actions</t>
  </si>
  <si>
    <t>Complex Actions</t>
  </si>
  <si>
    <t>Activate Mutation</t>
  </si>
  <si>
    <t>Activate Focus</t>
  </si>
  <si>
    <t>Astral Projection</t>
  </si>
  <si>
    <t>Call a Shot</t>
  </si>
  <si>
    <t>Call Nature Spirit</t>
  </si>
  <si>
    <t>Banish Spirit</t>
  </si>
  <si>
    <t>Deactivate Focus</t>
  </si>
  <si>
    <t>Change Position</t>
  </si>
  <si>
    <t>Call Elemental</t>
  </si>
  <si>
    <t>Delay Action</t>
  </si>
  <si>
    <t>Command a Spirit</t>
  </si>
  <si>
    <t>Cast Spell</t>
  </si>
  <si>
    <t>Drop Object</t>
  </si>
  <si>
    <t>Shoot Weapon</t>
  </si>
  <si>
    <t>Control Spirit</t>
  </si>
  <si>
    <t>Drop Prone</t>
  </si>
  <si>
    <t>Observe in Detail</t>
  </si>
  <si>
    <t>Erase Astral Signature</t>
  </si>
  <si>
    <t>Drop Sustained Spell</t>
  </si>
  <si>
    <t>Pick up/Put down Object</t>
  </si>
  <si>
    <t>Fire Automatic Weapon???</t>
  </si>
  <si>
    <t>Gesture</t>
  </si>
  <si>
    <t>Quick Draw</t>
  </si>
  <si>
    <t>Fire Mounted or Vehicle Weapon</t>
  </si>
  <si>
    <t>Observe</t>
  </si>
  <si>
    <t>Ready Weapon</t>
  </si>
  <si>
    <t>Melee/unarmed Atack</t>
  </si>
  <si>
    <t>Speak a Word</t>
  </si>
  <si>
    <t>Shift Perception (Astral)</t>
  </si>
  <si>
    <t>Reload Firearm???</t>
  </si>
  <si>
    <t>Spell Defense</t>
  </si>
  <si>
    <t>Take Aim</t>
  </si>
  <si>
    <t>Summon Nature Spirit</t>
  </si>
  <si>
    <t>Throw Weapon</t>
  </si>
  <si>
    <t>Use Complex Object</t>
  </si>
  <si>
    <t>Use Simple Object</t>
  </si>
  <si>
    <t>Use Skill (usually)</t>
  </si>
  <si>
    <t>Driver Actions</t>
  </si>
  <si>
    <t>Accelerating/Braking</t>
  </si>
  <si>
    <t>The driver attempts to change his vehicle’s speed, either to close with another vehicle or increase his distance from other vehicles. The driver makes a Driving Test against the vehicle’s Handling. Apply any appropriate modifiers from the Driving Test Modifiers Table.</t>
  </si>
  <si>
    <t>The increase or decrease in speed is equal to the vehicle’s Acceleration Rating, multiplied by the number of successes no higher than generated on the test. However, no vehicle can exceed its Speed Rating by more than 50 percent of the rating (Speed Rating times 1.5). If a driver chooses to decelerate a vehicle more than its Acceleration Rating x 4, it must make a Crash Test.</t>
  </si>
  <si>
    <t>If a pursuing vehicle’s speed increase is equal to or greater than the distance between the pursuer and his target, multiplied by 2, the vehicle can ram the targeted vehicle or pedestrian during the controlling player’s next available action.</t>
  </si>
  <si>
    <t>Positioning</t>
  </si>
  <si>
    <t>The driver attempts to maneuver his vehicle into a better tactical position for fighting. In game terms, a successful Positioning Test allows a driver to give a vehicle and its passengers a bonus modifier or a similar penalty modifier to another vehicle and its passengers to all actions for every two successes in the next Combat Turn.</t>
  </si>
  <si>
    <t>To position a vehicle, the driver makes a Positioning Test, using his Driving Skill against a target number equal to his vehicle’s Handling Rating. Apply all appropriate modifiers from the Driving Test Modifiers Table.</t>
  </si>
  <si>
    <t>A driver can also make a Positioning Test to bring the vehicle to a stop at a particular point in order to provide a covering position for characters to enter, exit, mount or dismount from the vehicle. This would be done as a hybrid with an Accelerating/Braking Test. The gamemaster determines how far the vehicle must travel to reach the desired spot. The number of successes from this hybrid test is multiplied by the vehicle’s Acceleration Rating to determine how much of the distance the vehicle can cover. If the final result equals or exceeds the required distance, the driver pulls off the maneuver. Otherwise, the positioning attempt fails. Rules regarding Deceleration apply.</t>
  </si>
  <si>
    <t>Ramming</t>
  </si>
  <si>
    <t>In a ramming maneuver, the driver attempts to hit another vehicle or a pedestrian, or break down a barrier, with his own vehicle. To do this, the distance between the vehicle and its target must be less than the vehicle’s Acceleration Rating. If the distance is greater, the vehicle driver can accelerate to close the distance (see Accelerating/Braking above). If the Acceleration Test produces a speed change greater than twice the distance, the driver may attempt to ram the target on his next available action.</t>
  </si>
  <si>
    <t>To resolve a ramming attempt, the driver makes a Ramming Test using his Driving Skill against a target number equal to his vehicle’s Handling Rating. Apply all appropriate modifiers from the Driving Test Modifiers Table. If the test succeeds, the vehicle collides with the target.</t>
  </si>
  <si>
    <t>Both the ramming vehicle and the target make Damage Resistance Tests for collision damage (see Vehicle Damage from Impact below). To determine the Power of the Damage Code, calculate the difference in speed between the two vehicles; then divide the result by 5 and round that number up to the nearest whole number.</t>
  </si>
  <si>
    <t>As a benefit for being the attacker, the attacker reduces the Power of the collision damage to his vehicle by his vehicle’s Body Rating, multiplied by the number of successes on his test. For the Damage Level, use the level corresponding to the difference in speed between the two vehicles, as shown on the Impact Damage Levels Table. Both drivers may add available Control Pool dice to their Damage Resistance Tests. If either vehicle sustains damage from the ram, that driver must make a Crash Test (see Crashing below).</t>
  </si>
  <si>
    <t>Performing a Non-Driving Action</t>
  </si>
  <si>
    <t>Non-driving actions include firing personal weapons, casting spells and so on.</t>
  </si>
  <si>
    <t>Ambushes</t>
  </si>
  <si>
    <t>Ambushers get a +4 to their first round's initiative rolls</t>
  </si>
  <si>
    <t>Terrain, camouflage or other circumstances may have additional modifiers added to ambushers</t>
  </si>
  <si>
    <t>PC's may add 1/2 a single complimentary skill value as an additional modifier</t>
  </si>
  <si>
    <t>Ambushees may modify their first round initiative rolls by modifiers of relevant mutations</t>
  </si>
  <si>
    <t>On the first initiative pass, attacks by ambushers that have a higher initiative score that their target deny the target's use of combat pool to defend</t>
  </si>
  <si>
    <t>Ambushee cannot attempt to dodge this attack</t>
  </si>
  <si>
    <t>Ambushee cannot use combat pool for a counter melee attack</t>
  </si>
  <si>
    <t>Ambushee cannot resist damage with combat pool for this attack</t>
  </si>
  <si>
    <t>Potential Multiple Party Surprise</t>
  </si>
  <si>
    <t>Roll initiative as normal</t>
  </si>
  <si>
    <t>Modifiers for relevant modifications may be applied</t>
  </si>
  <si>
    <t>On first initiative pass, attackers with a higher initiative score than their target deny their target use of combat pool for that attack</t>
  </si>
  <si>
    <t>Target cannot attempt to dodge this attack</t>
  </si>
  <si>
    <t>Target cannot use combat pool for a counter melee attack</t>
  </si>
  <si>
    <t>Target cannot resist damage with combat pool for this attack</t>
  </si>
  <si>
    <t>Firing Through a Barrier</t>
  </si>
  <si>
    <t>Barrier Effect Table</t>
  </si>
  <si>
    <t>Power of Attack</t>
  </si>
  <si>
    <t>Effect</t>
  </si>
  <si>
    <t>A character firing a ranged weapon at a target on the other side of a barrier suffers the +8 Blind Fire target-number modifier because he cannot see the intended target. If the intervening barrier is transparent, the modifier does not apply. Either way, the firing character makes the standard Success Test, except that the Power of the attack is reduced by the target’s appropriate Armor Rating (if the target is wearing armor) and the adjusted Barrier Rating of the barrier. For example, a character wearing 3 points of armor and standing on the far side of a Rating 4 barrier would subtract a total of 7 from the Power of the attack.</t>
  </si>
  <si>
    <t>Less than 1/2 of adjusted Barrier Rating</t>
  </si>
  <si>
    <t>No effect, barrier holds, minor cosmetic damage</t>
  </si>
  <si>
    <t>Equal to or greater than 1/2 adjusted Barrier Rating</t>
  </si>
  <si>
    <t>Barrier damaged, -1 to Barrier Rating</t>
  </si>
  <si>
    <t>Greater than adjusted Barrier Rating</t>
  </si>
  <si>
    <t>1/2 yard hole opens in Barrier per 1/2 increment Power exceeds Barrier Rating, -1 to Barrier Rating</t>
  </si>
  <si>
    <t>Barrier Rating Table</t>
  </si>
  <si>
    <t>Material</t>
  </si>
  <si>
    <t>Rating</t>
  </si>
  <si>
    <t>Glass</t>
  </si>
  <si>
    <t>If the Barrier Rating exceeds the Power of the attack, the barrier stops the attack cold. However, the attack may still damage the barrier by reducing its rating.</t>
  </si>
  <si>
    <t>Thin Wood</t>
  </si>
  <si>
    <t>Wood</t>
  </si>
  <si>
    <t>Iron</t>
  </si>
  <si>
    <t>Against melee attacks with blunt weapons such as fists, clubs or similar items, a barrier maintains its normal rating. Against melee attacks with edged weapons, such as swords and the like, the barrier has twice its normal rating.</t>
  </si>
  <si>
    <t>Blast against Barriers</t>
  </si>
  <si>
    <t>When a grenade-like weapon's blast hits a barrier such as a wall, door or other similar structure, compare the remaining Power of the blast (reduced by distance at -1 per yard) against twice the Barrier Rating of the object (see the Barrier Rating Table below). To find the blast’s effect on the barrier, consult the Barrier Effect Table.</t>
  </si>
  <si>
    <t>Breaking Through Barriers</t>
  </si>
  <si>
    <t>Attacks to break through a barrier (most commonly doors) are resolved in a similar manner to the rules for Blast against Barriers (see below), except that the barrier has twice its normal Barrier Rating against projectile weapon attacks. This increase accounts for the fact that even though an arrow or bolt is powerful, it punches only a tiny hole.</t>
  </si>
  <si>
    <t>Against melee attacks, a barrier has twice its normal Barrier Rating. Against combat spells, barriers have twice their normal rating. Against elemental manipulation spells, use the normal Barrier Rating.</t>
  </si>
  <si>
    <t>A regular door will break open when its Barrier Rating is reduced to one-half. A security door’s rating must be reduced to 0 before it will break open.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</si>
</sst>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1">
    <font>
      <sz val="10.0"/>
      <color rgb="FF000000"/>
      <name val="Arial"/>
      <scheme val="minor"/>
    </font>
    <font>
      <b/>
      <sz val="16.0"/>
      <color rgb="FF1E4E79"/>
      <name val="Calibri"/>
    </font>
    <font>
      <color theme="1"/>
      <name val="Arial"/>
      <scheme val="minor"/>
    </font>
    <font>
      <b/>
      <sz val="11.0"/>
      <color theme="1"/>
      <name val="Arial"/>
      <scheme val="minor"/>
    </font>
    <font>
      <i/>
      <sz val="9.0"/>
      <color theme="1"/>
      <name val="Arial"/>
      <scheme val="minor"/>
    </font>
    <font>
      <b/>
      <color theme="1"/>
      <name val="Arial"/>
      <scheme val="minor"/>
    </font>
    <font>
      <b/>
      <sz val="11.0"/>
      <color theme="1"/>
      <name val="Calibri"/>
    </font>
    <font>
      <sz val="11.0"/>
      <color theme="1"/>
      <name val="Calibri"/>
    </font>
    <font>
      <i/>
      <sz val="11.0"/>
      <color theme="1"/>
      <name val="Calibri"/>
    </font>
    <font>
      <b/>
      <sz val="12.0"/>
      <color theme="1"/>
      <name val="Calibri"/>
    </font>
    <font/>
  </fonts>
  <fills count="2">
    <fill>
      <patternFill patternType="none"/>
    </fill>
    <fill>
      <patternFill patternType="lightGray"/>
    </fill>
  </fills>
  <borders count="4">
    <border/>
    <border>
      <left style="thin">
        <color rgb="FFA3A3A3"/>
      </left>
      <right style="thin">
        <color rgb="FFA3A3A3"/>
      </right>
      <top style="thin">
        <color rgb="FFA3A3A3"/>
      </top>
      <bottom style="thin">
        <color rgb="FFA3A3A3"/>
      </bottom>
    </border>
    <border>
      <bottom style="medium">
        <color rgb="FFA3A3A3"/>
      </bottom>
    </border>
    <border>
      <left style="medium">
        <color rgb="FFA3A3A3"/>
      </left>
      <right style="medium">
        <color rgb="FFA3A3A3"/>
      </right>
      <top style="medium">
        <color rgb="FFA3A3A3"/>
      </top>
      <bottom style="medium">
        <color rgb="FFA3A3A3"/>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5" numFmtId="0" xfId="0" applyAlignment="1" applyFont="1">
      <alignment horizontal="right" readingOrder="0"/>
    </xf>
    <xf borderId="0" fillId="0" fontId="5" numFmtId="0" xfId="0" applyAlignment="1" applyFont="1">
      <alignment readingOrder="0"/>
    </xf>
    <xf borderId="0" fillId="0" fontId="5" numFmtId="0" xfId="0" applyFont="1"/>
    <xf borderId="0" fillId="0" fontId="4" numFmtId="0" xfId="0" applyAlignment="1" applyFont="1">
      <alignment readingOrder="0" shrinkToFit="0" wrapText="1"/>
    </xf>
    <xf borderId="0" fillId="0" fontId="1" numFmtId="0" xfId="0" applyAlignment="1" applyFont="1">
      <alignment horizontal="center" readingOrder="0"/>
    </xf>
    <xf borderId="1" fillId="0" fontId="6" numFmtId="0" xfId="0" applyAlignment="1" applyBorder="1" applyFont="1">
      <alignment horizontal="center" readingOrder="0" vertical="top"/>
    </xf>
    <xf borderId="1" fillId="0" fontId="6" numFmtId="0" xfId="0" applyAlignment="1" applyBorder="1" applyFont="1">
      <alignment readingOrder="0" vertical="top"/>
    </xf>
    <xf borderId="1" fillId="0" fontId="7" numFmtId="0" xfId="0" applyAlignment="1" applyBorder="1" applyFont="1">
      <alignment readingOrder="0" vertical="top"/>
    </xf>
    <xf borderId="1" fillId="0" fontId="7" numFmtId="0" xfId="0" applyAlignment="1" applyBorder="1" applyFont="1">
      <alignment horizontal="center" readingOrder="0" vertical="top"/>
    </xf>
    <xf quotePrefix="1" borderId="1" fillId="0" fontId="7" numFmtId="0" xfId="0" applyAlignment="1" applyBorder="1" applyFont="1">
      <alignment horizontal="center" readingOrder="0" vertical="top"/>
    </xf>
    <xf quotePrefix="1" borderId="0" fillId="0" fontId="8" numFmtId="0" xfId="0" applyAlignment="1" applyFont="1">
      <alignment readingOrder="0"/>
    </xf>
    <xf borderId="0" fillId="0" fontId="6" numFmtId="0" xfId="0" applyAlignment="1" applyFont="1">
      <alignment horizontal="center" readingOrder="0" vertical="top"/>
    </xf>
    <xf borderId="0" fillId="0" fontId="7" numFmtId="0" xfId="0" applyAlignment="1" applyFont="1">
      <alignment readingOrder="0" vertical="top"/>
    </xf>
    <xf borderId="1" fillId="0" fontId="7" numFmtId="0" xfId="0" applyAlignment="1" applyBorder="1" applyFont="1">
      <alignment horizontal="center" vertical="top"/>
    </xf>
    <xf borderId="1" fillId="0" fontId="7" numFmtId="9" xfId="0" applyAlignment="1" applyBorder="1" applyFont="1" applyNumberFormat="1">
      <alignment horizontal="center" readingOrder="0" vertical="top"/>
    </xf>
    <xf borderId="0" fillId="0" fontId="8" numFmtId="0" xfId="0" applyAlignment="1" applyFont="1">
      <alignment readingOrder="0" vertical="top"/>
    </xf>
    <xf borderId="0" fillId="0" fontId="8" numFmtId="0" xfId="0" applyAlignment="1" applyFont="1">
      <alignment shrinkToFit="0" vertical="bottom" wrapText="0"/>
    </xf>
    <xf borderId="1" fillId="0" fontId="2" numFmtId="0" xfId="0" applyAlignment="1" applyBorder="1" applyFont="1">
      <alignment vertical="top"/>
    </xf>
    <xf borderId="1" fillId="0" fontId="7" numFmtId="0" xfId="0" applyAlignment="1" applyBorder="1" applyFont="1">
      <alignment horizontal="right" readingOrder="0" vertical="top"/>
    </xf>
    <xf borderId="1" fillId="0" fontId="2" numFmtId="0" xfId="0" applyAlignment="1" applyBorder="1" applyFont="1">
      <alignment horizontal="right" vertical="top"/>
    </xf>
    <xf borderId="1" fillId="0" fontId="7" numFmtId="164" xfId="0" applyAlignment="1" applyBorder="1" applyFont="1" applyNumberFormat="1">
      <alignment readingOrder="0" vertical="top"/>
    </xf>
    <xf borderId="1" fillId="0" fontId="7" numFmtId="0" xfId="0" applyAlignment="1" applyBorder="1" applyFont="1">
      <alignment readingOrder="0"/>
    </xf>
    <xf borderId="0" fillId="0" fontId="9" numFmtId="0" xfId="0" applyAlignment="1" applyFont="1">
      <alignment horizontal="center"/>
    </xf>
    <xf borderId="0" fillId="0" fontId="6" numFmtId="0" xfId="0" applyFont="1"/>
    <xf borderId="0" fillId="0" fontId="2" numFmtId="0" xfId="0" applyFont="1"/>
    <xf borderId="0" fillId="0" fontId="9" numFmtId="0" xfId="0" applyAlignment="1" applyFont="1">
      <alignment readingOrder="0"/>
    </xf>
    <xf borderId="0" fillId="0" fontId="6" numFmtId="0" xfId="0" applyFont="1"/>
    <xf borderId="0" fillId="0" fontId="7" numFmtId="0" xfId="0" applyAlignment="1" applyFont="1">
      <alignment readingOrder="0" shrinkToFit="0" wrapText="1"/>
    </xf>
    <xf borderId="0" fillId="0" fontId="7" numFmtId="0" xfId="0" applyAlignment="1" applyFont="1">
      <alignment readingOrder="0"/>
    </xf>
    <xf borderId="0" fillId="0" fontId="9" numFmtId="0" xfId="0" applyFont="1"/>
    <xf borderId="0" fillId="0" fontId="6" numFmtId="0" xfId="0" applyAlignment="1" applyFont="1">
      <alignment readingOrder="0"/>
    </xf>
    <xf borderId="0" fillId="0" fontId="6" numFmtId="0" xfId="0" applyAlignment="1" applyFont="1">
      <alignment horizontal="center"/>
    </xf>
    <xf borderId="2" fillId="0" fontId="6" numFmtId="0" xfId="0" applyAlignment="1" applyBorder="1" applyFont="1">
      <alignment horizontal="center"/>
    </xf>
    <xf borderId="2" fillId="0" fontId="10" numFmtId="0" xfId="0" applyBorder="1" applyFont="1"/>
    <xf borderId="3" fillId="0" fontId="6" numFmtId="0" xfId="0" applyAlignment="1" applyBorder="1" applyFont="1">
      <alignment horizontal="center" shrinkToFit="0" vertical="center" wrapText="1"/>
    </xf>
    <xf borderId="0" fillId="0" fontId="7" numFmtId="0" xfId="0" applyAlignment="1" applyFont="1">
      <alignment horizontal="center" shrinkToFit="0" wrapText="1"/>
    </xf>
    <xf borderId="3" fillId="0" fontId="7" numFmtId="0" xfId="0" applyAlignment="1" applyBorder="1" applyFont="1">
      <alignment shrinkToFit="0" vertical="center" wrapText="1"/>
    </xf>
    <xf borderId="0" fillId="0" fontId="7" numFmtId="0" xfId="0" applyAlignment="1" applyFont="1">
      <alignment shrinkToFit="0" vertical="center" wrapText="1"/>
    </xf>
    <xf borderId="3" fillId="0"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2.25"/>
  </cols>
  <sheetData>
    <row r="2">
      <c r="A2" s="1" t="s">
        <v>0</v>
      </c>
    </row>
    <row r="3">
      <c r="A3" s="2"/>
      <c r="B3" s="2"/>
    </row>
    <row r="4">
      <c r="A4" s="3">
        <v>1.0</v>
      </c>
      <c r="B4" s="3" t="s">
        <v>1</v>
      </c>
    </row>
    <row r="5">
      <c r="B5" s="4" t="s">
        <v>2</v>
      </c>
    </row>
    <row r="7">
      <c r="A7" s="3">
        <v>2.0</v>
      </c>
      <c r="B7" s="3" t="s">
        <v>3</v>
      </c>
    </row>
    <row r="8">
      <c r="B8" s="4" t="s">
        <v>4</v>
      </c>
    </row>
    <row r="10">
      <c r="A10" s="3">
        <v>3.0</v>
      </c>
      <c r="B10" s="3" t="s">
        <v>5</v>
      </c>
    </row>
    <row r="11">
      <c r="B11" s="4" t="s">
        <v>6</v>
      </c>
    </row>
    <row r="13">
      <c r="B13" s="5" t="s">
        <v>7</v>
      </c>
      <c r="C13" s="6" t="s">
        <v>8</v>
      </c>
    </row>
    <row r="14">
      <c r="C14" s="4" t="s">
        <v>9</v>
      </c>
      <c r="D14" s="6"/>
      <c r="E14" s="7"/>
    </row>
    <row r="15">
      <c r="C15" s="6"/>
      <c r="D15" s="6"/>
      <c r="E15" s="7"/>
    </row>
    <row r="16">
      <c r="B16" s="6" t="s">
        <v>10</v>
      </c>
      <c r="C16" s="6" t="s">
        <v>11</v>
      </c>
      <c r="D16" s="6"/>
      <c r="E16" s="7"/>
    </row>
    <row r="17">
      <c r="C17" s="4" t="s">
        <v>12</v>
      </c>
      <c r="D17" s="2"/>
    </row>
    <row r="18">
      <c r="C18" s="6" t="s">
        <v>13</v>
      </c>
      <c r="D18" s="6" t="s">
        <v>14</v>
      </c>
      <c r="E18" s="7"/>
    </row>
    <row r="19">
      <c r="D19" s="6" t="s">
        <v>15</v>
      </c>
      <c r="E19" s="6" t="s">
        <v>16</v>
      </c>
    </row>
    <row r="20">
      <c r="D20" s="2"/>
      <c r="E20" s="4" t="s">
        <v>17</v>
      </c>
    </row>
    <row r="21">
      <c r="D21" s="6" t="s">
        <v>18</v>
      </c>
      <c r="E21" s="6" t="s">
        <v>19</v>
      </c>
    </row>
    <row r="22">
      <c r="E22" s="4" t="s">
        <v>20</v>
      </c>
    </row>
    <row r="23">
      <c r="D23" s="6" t="s">
        <v>21</v>
      </c>
      <c r="E23" s="6" t="s">
        <v>22</v>
      </c>
    </row>
    <row r="24">
      <c r="E24" s="4" t="s">
        <v>23</v>
      </c>
    </row>
    <row r="25">
      <c r="D25" s="6" t="s">
        <v>24</v>
      </c>
      <c r="E25" s="6" t="s">
        <v>25</v>
      </c>
    </row>
    <row r="26">
      <c r="E26" s="4" t="s">
        <v>26</v>
      </c>
    </row>
    <row r="27">
      <c r="D27" s="6" t="s">
        <v>27</v>
      </c>
      <c r="E27" s="6" t="s">
        <v>28</v>
      </c>
    </row>
    <row r="28">
      <c r="E28" s="4" t="s">
        <v>29</v>
      </c>
    </row>
    <row r="29">
      <c r="D29" s="6" t="s">
        <v>30</v>
      </c>
      <c r="E29" s="6" t="s">
        <v>31</v>
      </c>
    </row>
    <row r="30">
      <c r="E30" s="8" t="s">
        <v>32</v>
      </c>
    </row>
    <row r="31">
      <c r="D31" s="6"/>
    </row>
    <row r="32">
      <c r="D32" s="6" t="s">
        <v>33</v>
      </c>
      <c r="E32" s="6" t="s">
        <v>34</v>
      </c>
    </row>
    <row r="33">
      <c r="E33" s="4" t="s">
        <v>35</v>
      </c>
    </row>
    <row r="35">
      <c r="C35" s="6" t="s">
        <v>36</v>
      </c>
      <c r="D35" s="6" t="s">
        <v>37</v>
      </c>
    </row>
    <row r="36">
      <c r="D36" s="6" t="s">
        <v>15</v>
      </c>
      <c r="E36" s="6" t="s">
        <v>19</v>
      </c>
    </row>
    <row r="37">
      <c r="D37" s="6"/>
      <c r="E37" s="4" t="s">
        <v>38</v>
      </c>
    </row>
    <row r="38">
      <c r="D38" s="6" t="s">
        <v>18</v>
      </c>
      <c r="E38" s="6" t="s">
        <v>22</v>
      </c>
    </row>
    <row r="39">
      <c r="E39" s="4" t="s">
        <v>39</v>
      </c>
    </row>
    <row r="40">
      <c r="D40" s="6" t="s">
        <v>21</v>
      </c>
      <c r="E40" s="6" t="s">
        <v>40</v>
      </c>
    </row>
    <row r="41">
      <c r="E41" s="4" t="s">
        <v>41</v>
      </c>
    </row>
    <row r="42">
      <c r="D42" s="6" t="s">
        <v>24</v>
      </c>
      <c r="E42" s="6" t="s">
        <v>42</v>
      </c>
    </row>
    <row r="43">
      <c r="E43" s="4" t="s">
        <v>43</v>
      </c>
    </row>
    <row r="44">
      <c r="D44" s="6" t="s">
        <v>27</v>
      </c>
      <c r="E44" s="6" t="s">
        <v>44</v>
      </c>
    </row>
    <row r="45">
      <c r="E45" s="8" t="s">
        <v>45</v>
      </c>
    </row>
    <row r="46">
      <c r="D46" s="6"/>
    </row>
    <row r="47">
      <c r="D47" s="6" t="s">
        <v>30</v>
      </c>
      <c r="E47" s="6" t="s">
        <v>46</v>
      </c>
    </row>
    <row r="48">
      <c r="E48" s="4" t="s">
        <v>47</v>
      </c>
    </row>
    <row r="50">
      <c r="C50" s="6" t="s">
        <v>48</v>
      </c>
      <c r="D50" s="6" t="s">
        <v>49</v>
      </c>
    </row>
    <row r="51">
      <c r="D51" s="6" t="s">
        <v>15</v>
      </c>
      <c r="E51" s="6" t="s">
        <v>50</v>
      </c>
    </row>
    <row r="52">
      <c r="E52" s="4" t="s">
        <v>51</v>
      </c>
    </row>
    <row r="53">
      <c r="D53" s="6" t="s">
        <v>18</v>
      </c>
      <c r="E53" s="6" t="s">
        <v>52</v>
      </c>
    </row>
    <row r="54">
      <c r="E54" s="4" t="s">
        <v>53</v>
      </c>
    </row>
    <row r="55">
      <c r="D55" s="6" t="s">
        <v>21</v>
      </c>
      <c r="E55" s="6" t="s">
        <v>19</v>
      </c>
    </row>
    <row r="56">
      <c r="E56" s="8" t="s">
        <v>54</v>
      </c>
    </row>
    <row r="57">
      <c r="D57" s="6"/>
    </row>
    <row r="58">
      <c r="D58" s="6" t="s">
        <v>24</v>
      </c>
      <c r="E58" s="6" t="s">
        <v>55</v>
      </c>
    </row>
    <row r="59">
      <c r="E59" s="4" t="s">
        <v>56</v>
      </c>
    </row>
    <row r="60">
      <c r="D60" s="6" t="s">
        <v>27</v>
      </c>
      <c r="E60" s="6" t="s">
        <v>57</v>
      </c>
    </row>
    <row r="61">
      <c r="E61" s="4" t="s">
        <v>58</v>
      </c>
    </row>
    <row r="62">
      <c r="D62" s="6" t="s">
        <v>30</v>
      </c>
      <c r="E62" s="6" t="s">
        <v>59</v>
      </c>
    </row>
    <row r="63">
      <c r="E63" s="4" t="s">
        <v>60</v>
      </c>
    </row>
    <row r="64">
      <c r="D64" s="6" t="s">
        <v>33</v>
      </c>
      <c r="E64" s="6" t="s">
        <v>61</v>
      </c>
    </row>
    <row r="65">
      <c r="E65" s="8" t="s">
        <v>62</v>
      </c>
    </row>
    <row r="68">
      <c r="C68" s="6" t="s">
        <v>63</v>
      </c>
      <c r="D68" s="6" t="s">
        <v>64</v>
      </c>
    </row>
    <row r="69">
      <c r="D69" s="6" t="s">
        <v>15</v>
      </c>
      <c r="E69" s="6" t="s">
        <v>19</v>
      </c>
    </row>
    <row r="70">
      <c r="D70" s="6"/>
      <c r="E70" s="4" t="s">
        <v>65</v>
      </c>
    </row>
    <row r="71">
      <c r="D71" s="6" t="s">
        <v>18</v>
      </c>
      <c r="E71" s="6" t="s">
        <v>66</v>
      </c>
    </row>
    <row r="72">
      <c r="E72" s="4" t="s">
        <v>67</v>
      </c>
    </row>
    <row r="74">
      <c r="B74" s="6" t="s">
        <v>68</v>
      </c>
      <c r="C74" s="6" t="s">
        <v>69</v>
      </c>
      <c r="D74" s="6"/>
    </row>
    <row r="75">
      <c r="C75" s="8" t="s">
        <v>70</v>
      </c>
    </row>
    <row r="79">
      <c r="B79" s="6" t="s">
        <v>71</v>
      </c>
      <c r="C79" s="6" t="s">
        <v>72</v>
      </c>
    </row>
    <row r="80">
      <c r="C80" s="8" t="s">
        <v>73</v>
      </c>
    </row>
    <row r="83">
      <c r="A83" s="3">
        <v>4.0</v>
      </c>
      <c r="B83" s="3" t="s">
        <v>74</v>
      </c>
    </row>
    <row r="84">
      <c r="B84" s="4" t="s">
        <v>75</v>
      </c>
    </row>
  </sheetData>
  <mergeCells count="6">
    <mergeCell ref="E30:R31"/>
    <mergeCell ref="E45:R46"/>
    <mergeCell ref="E56:R57"/>
    <mergeCell ref="E65:R66"/>
    <mergeCell ref="C75:R77"/>
    <mergeCell ref="C80:R8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75"/>
    <col customWidth="1" min="3" max="3" width="22.38"/>
    <col customWidth="1" min="4" max="4" width="16.25"/>
    <col customWidth="1" min="5" max="5" width="11.63"/>
    <col customWidth="1" min="8" max="8" width="27.75"/>
    <col customWidth="1" min="9" max="9" width="22.0"/>
    <col customWidth="1" min="10" max="10" width="15.63"/>
    <col customWidth="1" min="11" max="11" width="19.13"/>
  </cols>
  <sheetData>
    <row r="2">
      <c r="C2" s="9" t="s">
        <v>76</v>
      </c>
      <c r="H2" s="9" t="s">
        <v>77</v>
      </c>
    </row>
    <row r="3">
      <c r="C3" s="10" t="s">
        <v>78</v>
      </c>
      <c r="D3" s="11" t="s">
        <v>79</v>
      </c>
      <c r="E3" s="11" t="s">
        <v>80</v>
      </c>
      <c r="H3" s="10" t="s">
        <v>81</v>
      </c>
      <c r="I3" s="10" t="s">
        <v>82</v>
      </c>
    </row>
    <row r="4">
      <c r="C4" s="12" t="s">
        <v>83</v>
      </c>
      <c r="D4" s="13" t="s">
        <v>84</v>
      </c>
      <c r="E4" s="13" t="s">
        <v>85</v>
      </c>
      <c r="H4" s="12" t="s">
        <v>86</v>
      </c>
      <c r="I4" s="14" t="s">
        <v>87</v>
      </c>
    </row>
    <row r="5">
      <c r="C5" s="12" t="s">
        <v>88</v>
      </c>
      <c r="D5" s="13">
        <v>3.0</v>
      </c>
      <c r="E5" s="13" t="s">
        <v>89</v>
      </c>
      <c r="H5" s="12" t="s">
        <v>90</v>
      </c>
      <c r="I5" s="14" t="s">
        <v>91</v>
      </c>
    </row>
    <row r="6">
      <c r="C6" s="12" t="s">
        <v>92</v>
      </c>
      <c r="D6" s="13">
        <v>4.0</v>
      </c>
      <c r="E6" s="13" t="s">
        <v>93</v>
      </c>
      <c r="H6" s="12" t="s">
        <v>94</v>
      </c>
      <c r="I6" s="13" t="s">
        <v>95</v>
      </c>
    </row>
    <row r="7">
      <c r="C7" s="12" t="s">
        <v>96</v>
      </c>
      <c r="D7" s="13">
        <v>5.0</v>
      </c>
      <c r="E7" s="13" t="s">
        <v>97</v>
      </c>
      <c r="H7" s="12" t="s">
        <v>98</v>
      </c>
      <c r="I7" s="14" t="s">
        <v>99</v>
      </c>
    </row>
    <row r="8">
      <c r="C8" s="12" t="s">
        <v>100</v>
      </c>
      <c r="D8" s="13" t="s">
        <v>101</v>
      </c>
      <c r="E8" s="13" t="s">
        <v>102</v>
      </c>
      <c r="H8" s="12" t="s">
        <v>103</v>
      </c>
      <c r="I8" s="14" t="s">
        <v>104</v>
      </c>
    </row>
    <row r="9">
      <c r="C9" s="12" t="s">
        <v>105</v>
      </c>
      <c r="D9" s="13" t="s">
        <v>101</v>
      </c>
      <c r="E9" s="13" t="s">
        <v>102</v>
      </c>
      <c r="H9" s="12" t="s">
        <v>106</v>
      </c>
      <c r="I9" s="14" t="s">
        <v>107</v>
      </c>
    </row>
    <row r="10">
      <c r="C10" s="15" t="s">
        <v>108</v>
      </c>
      <c r="H10" s="12" t="s">
        <v>109</v>
      </c>
      <c r="I10" s="14" t="s">
        <v>91</v>
      </c>
    </row>
    <row r="11">
      <c r="H11" s="12" t="s">
        <v>110</v>
      </c>
      <c r="I11" s="14" t="s">
        <v>111</v>
      </c>
    </row>
    <row r="12">
      <c r="A12" s="16"/>
      <c r="B12" s="9" t="s">
        <v>112</v>
      </c>
      <c r="H12" s="12" t="s">
        <v>113</v>
      </c>
      <c r="I12" s="14" t="s">
        <v>114</v>
      </c>
    </row>
    <row r="13">
      <c r="A13" s="17"/>
      <c r="B13" s="10" t="s">
        <v>115</v>
      </c>
      <c r="C13" s="10" t="s">
        <v>116</v>
      </c>
      <c r="D13" s="10" t="s">
        <v>117</v>
      </c>
      <c r="E13" s="10" t="s">
        <v>118</v>
      </c>
      <c r="F13" s="10" t="s">
        <v>119</v>
      </c>
      <c r="H13" s="12" t="s">
        <v>120</v>
      </c>
      <c r="I13" s="14" t="s">
        <v>99</v>
      </c>
    </row>
    <row r="14">
      <c r="A14" s="17"/>
      <c r="B14" s="12" t="s">
        <v>121</v>
      </c>
      <c r="C14" s="12" t="s">
        <v>122</v>
      </c>
      <c r="D14" s="12" t="s">
        <v>123</v>
      </c>
      <c r="E14" s="12" t="s">
        <v>124</v>
      </c>
      <c r="F14" s="12" t="s">
        <v>125</v>
      </c>
      <c r="H14" s="12" t="s">
        <v>126</v>
      </c>
      <c r="I14" s="13" t="s">
        <v>127</v>
      </c>
    </row>
    <row r="15">
      <c r="A15" s="17"/>
      <c r="B15" s="12" t="s">
        <v>88</v>
      </c>
      <c r="C15" s="12" t="s">
        <v>128</v>
      </c>
      <c r="D15" s="12" t="s">
        <v>129</v>
      </c>
      <c r="E15" s="12" t="s">
        <v>130</v>
      </c>
      <c r="F15" s="12" t="s">
        <v>131</v>
      </c>
      <c r="H15" s="12" t="s">
        <v>132</v>
      </c>
      <c r="I15" s="14" t="s">
        <v>133</v>
      </c>
    </row>
    <row r="16">
      <c r="A16" s="17"/>
      <c r="B16" s="12" t="s">
        <v>92</v>
      </c>
      <c r="C16" s="12" t="s">
        <v>134</v>
      </c>
      <c r="D16" s="12" t="s">
        <v>135</v>
      </c>
      <c r="E16" s="12" t="s">
        <v>124</v>
      </c>
      <c r="F16" s="12" t="s">
        <v>136</v>
      </c>
      <c r="H16" s="12" t="s">
        <v>137</v>
      </c>
      <c r="I16" s="14" t="s">
        <v>91</v>
      </c>
    </row>
    <row r="17">
      <c r="A17" s="17"/>
      <c r="B17" s="12" t="s">
        <v>96</v>
      </c>
      <c r="C17" s="12" t="s">
        <v>138</v>
      </c>
      <c r="D17" s="12" t="s">
        <v>139</v>
      </c>
      <c r="E17" s="12" t="s">
        <v>131</v>
      </c>
      <c r="F17" s="12" t="s">
        <v>125</v>
      </c>
    </row>
    <row r="18">
      <c r="A18" s="17"/>
      <c r="B18" s="12" t="s">
        <v>140</v>
      </c>
      <c r="C18" s="12" t="s">
        <v>122</v>
      </c>
      <c r="D18" s="12" t="s">
        <v>141</v>
      </c>
      <c r="E18" s="12" t="s">
        <v>142</v>
      </c>
      <c r="F18" s="12" t="s">
        <v>143</v>
      </c>
      <c r="H18" s="9" t="s">
        <v>144</v>
      </c>
    </row>
    <row r="19">
      <c r="B19" s="12" t="s">
        <v>105</v>
      </c>
      <c r="C19" s="12" t="s">
        <v>122</v>
      </c>
      <c r="D19" s="12" t="s">
        <v>141</v>
      </c>
      <c r="E19" s="12" t="s">
        <v>143</v>
      </c>
      <c r="F19" s="12" t="s">
        <v>145</v>
      </c>
      <c r="H19" s="10" t="s">
        <v>146</v>
      </c>
      <c r="I19" s="11" t="s">
        <v>147</v>
      </c>
      <c r="J19" s="11" t="s">
        <v>148</v>
      </c>
    </row>
    <row r="20">
      <c r="H20" s="12" t="s">
        <v>149</v>
      </c>
      <c r="I20" s="14" t="s">
        <v>87</v>
      </c>
      <c r="J20" s="14" t="s">
        <v>87</v>
      </c>
    </row>
    <row r="21">
      <c r="B21" s="9" t="s">
        <v>150</v>
      </c>
      <c r="H21" s="12" t="s">
        <v>151</v>
      </c>
      <c r="I21" s="14" t="s">
        <v>111</v>
      </c>
      <c r="J21" s="14" t="s">
        <v>99</v>
      </c>
    </row>
    <row r="22">
      <c r="B22" s="10" t="s">
        <v>81</v>
      </c>
      <c r="C22" s="10" t="s">
        <v>82</v>
      </c>
      <c r="H22" s="12" t="s">
        <v>152</v>
      </c>
      <c r="I22" s="14" t="s">
        <v>99</v>
      </c>
      <c r="J22" s="13">
        <v>0.0</v>
      </c>
    </row>
    <row r="23">
      <c r="B23" s="12" t="s">
        <v>137</v>
      </c>
      <c r="C23" s="18">
        <f>+4</f>
        <v>4</v>
      </c>
      <c r="H23" s="12" t="s">
        <v>153</v>
      </c>
      <c r="I23" s="14" t="s">
        <v>99</v>
      </c>
      <c r="J23" s="14" t="s">
        <v>99</v>
      </c>
    </row>
    <row r="24">
      <c r="B24" s="12" t="s">
        <v>154</v>
      </c>
      <c r="C24" s="14" t="s">
        <v>104</v>
      </c>
      <c r="H24" s="12" t="s">
        <v>155</v>
      </c>
      <c r="I24" s="14" t="s">
        <v>99</v>
      </c>
      <c r="J24" s="13">
        <v>0.0</v>
      </c>
    </row>
    <row r="25">
      <c r="B25" s="12" t="s">
        <v>156</v>
      </c>
      <c r="C25" s="14" t="s">
        <v>114</v>
      </c>
      <c r="H25" s="12" t="s">
        <v>157</v>
      </c>
      <c r="I25" s="14" t="s">
        <v>91</v>
      </c>
      <c r="J25" s="14" t="s">
        <v>99</v>
      </c>
    </row>
    <row r="26">
      <c r="B26" s="12" t="s">
        <v>94</v>
      </c>
      <c r="C26" s="13" t="s">
        <v>95</v>
      </c>
      <c r="H26" s="12" t="s">
        <v>158</v>
      </c>
      <c r="I26" s="14" t="s">
        <v>111</v>
      </c>
      <c r="J26" s="14" t="s">
        <v>91</v>
      </c>
    </row>
    <row r="27">
      <c r="B27" s="12" t="s">
        <v>159</v>
      </c>
      <c r="C27" s="13" t="s">
        <v>127</v>
      </c>
      <c r="H27" s="17" t="s">
        <v>160</v>
      </c>
    </row>
    <row r="28">
      <c r="B28" s="12" t="s">
        <v>161</v>
      </c>
      <c r="C28" s="14" t="s">
        <v>162</v>
      </c>
    </row>
    <row r="29">
      <c r="B29" s="12" t="s">
        <v>163</v>
      </c>
      <c r="C29" s="14" t="s">
        <v>164</v>
      </c>
      <c r="H29" s="9" t="s">
        <v>165</v>
      </c>
    </row>
    <row r="30">
      <c r="B30" s="12" t="s">
        <v>166</v>
      </c>
      <c r="C30" s="14" t="s">
        <v>167</v>
      </c>
      <c r="H30" s="10" t="s">
        <v>168</v>
      </c>
      <c r="I30" s="10" t="s">
        <v>169</v>
      </c>
      <c r="J30" s="10" t="s">
        <v>170</v>
      </c>
      <c r="K30" s="10" t="s">
        <v>171</v>
      </c>
    </row>
    <row r="31">
      <c r="B31" s="12" t="s">
        <v>172</v>
      </c>
      <c r="C31" s="14" t="s">
        <v>104</v>
      </c>
      <c r="H31" s="12" t="s">
        <v>173</v>
      </c>
      <c r="I31" s="14" t="s">
        <v>114</v>
      </c>
      <c r="J31" s="14" t="s">
        <v>104</v>
      </c>
      <c r="K31" s="13" t="s">
        <v>174</v>
      </c>
    </row>
    <row r="32">
      <c r="B32" s="12" t="s">
        <v>175</v>
      </c>
      <c r="C32" s="14" t="s">
        <v>176</v>
      </c>
      <c r="H32" s="12" t="s">
        <v>177</v>
      </c>
      <c r="I32" s="14" t="s">
        <v>99</v>
      </c>
      <c r="J32" s="14" t="s">
        <v>176</v>
      </c>
      <c r="K32" s="19">
        <v>0.25</v>
      </c>
    </row>
    <row r="33">
      <c r="B33" s="20" t="s">
        <v>178</v>
      </c>
      <c r="H33" s="12" t="s">
        <v>179</v>
      </c>
      <c r="I33" s="14" t="s">
        <v>180</v>
      </c>
      <c r="J33" s="14" t="s">
        <v>181</v>
      </c>
      <c r="K33" s="19">
        <v>0.5</v>
      </c>
    </row>
    <row r="34">
      <c r="B34" s="21" t="s">
        <v>182</v>
      </c>
    </row>
    <row r="35">
      <c r="B35" s="21" t="s">
        <v>183</v>
      </c>
      <c r="H35" s="9" t="s">
        <v>184</v>
      </c>
    </row>
    <row r="36">
      <c r="B36" s="9" t="s">
        <v>185</v>
      </c>
      <c r="H36" s="10" t="s">
        <v>146</v>
      </c>
      <c r="I36" s="22"/>
      <c r="J36" s="10" t="s">
        <v>82</v>
      </c>
    </row>
    <row r="37">
      <c r="B37" s="10" t="s">
        <v>146</v>
      </c>
      <c r="C37" s="22"/>
      <c r="D37" s="10" t="s">
        <v>82</v>
      </c>
      <c r="H37" s="23" t="s">
        <v>186</v>
      </c>
      <c r="I37" s="22"/>
      <c r="J37" s="14" t="s">
        <v>187</v>
      </c>
    </row>
    <row r="38">
      <c r="B38" s="12" t="s">
        <v>188</v>
      </c>
      <c r="C38" s="22"/>
      <c r="D38" s="14" t="s">
        <v>104</v>
      </c>
      <c r="H38" s="23" t="s">
        <v>189</v>
      </c>
      <c r="I38" s="22"/>
      <c r="J38" s="14" t="s">
        <v>187</v>
      </c>
    </row>
    <row r="39">
      <c r="B39" s="12" t="s">
        <v>190</v>
      </c>
      <c r="C39" s="22"/>
      <c r="D39" s="13" t="s">
        <v>191</v>
      </c>
      <c r="H39" s="23" t="s">
        <v>192</v>
      </c>
      <c r="I39" s="22"/>
      <c r="J39" s="22"/>
    </row>
    <row r="40">
      <c r="B40" s="12" t="s">
        <v>193</v>
      </c>
      <c r="C40" s="22"/>
      <c r="D40" s="22"/>
      <c r="H40" s="24"/>
      <c r="I40" s="23" t="s">
        <v>194</v>
      </c>
      <c r="J40" s="14" t="s">
        <v>104</v>
      </c>
    </row>
    <row r="41">
      <c r="B41" s="22"/>
      <c r="C41" s="12" t="s">
        <v>195</v>
      </c>
      <c r="D41" s="14" t="s">
        <v>99</v>
      </c>
      <c r="H41" s="24"/>
      <c r="I41" s="23" t="s">
        <v>196</v>
      </c>
      <c r="J41" s="13">
        <v>0.0</v>
      </c>
    </row>
    <row r="42">
      <c r="B42" s="22"/>
      <c r="C42" s="12" t="s">
        <v>197</v>
      </c>
      <c r="D42" s="14" t="s">
        <v>91</v>
      </c>
      <c r="H42" s="24"/>
      <c r="I42" s="23" t="s">
        <v>198</v>
      </c>
      <c r="J42" s="14" t="s">
        <v>114</v>
      </c>
    </row>
    <row r="43">
      <c r="B43" s="12" t="s">
        <v>192</v>
      </c>
      <c r="C43" s="22"/>
      <c r="D43" s="22"/>
      <c r="H43" s="24"/>
      <c r="I43" s="23" t="s">
        <v>199</v>
      </c>
      <c r="J43" s="14" t="s">
        <v>180</v>
      </c>
    </row>
    <row r="44">
      <c r="B44" s="22"/>
      <c r="C44" s="12" t="s">
        <v>194</v>
      </c>
      <c r="D44" s="14" t="s">
        <v>104</v>
      </c>
      <c r="H44" s="23" t="s">
        <v>200</v>
      </c>
      <c r="I44" s="22"/>
      <c r="J44" s="22"/>
    </row>
    <row r="45">
      <c r="B45" s="22"/>
      <c r="C45" s="12" t="s">
        <v>196</v>
      </c>
      <c r="D45" s="13">
        <v>0.0</v>
      </c>
      <c r="H45" s="22"/>
      <c r="I45" s="25">
        <v>45301.0</v>
      </c>
      <c r="J45" s="13">
        <v>0.0</v>
      </c>
    </row>
    <row r="46">
      <c r="B46" s="22"/>
      <c r="C46" s="12" t="s">
        <v>198</v>
      </c>
      <c r="D46" s="14" t="s">
        <v>114</v>
      </c>
      <c r="H46" s="22"/>
      <c r="I46" s="25">
        <v>45626.0</v>
      </c>
      <c r="J46" s="14" t="s">
        <v>114</v>
      </c>
    </row>
    <row r="47">
      <c r="B47" s="22"/>
      <c r="C47" s="12" t="s">
        <v>199</v>
      </c>
      <c r="D47" s="14" t="s">
        <v>180</v>
      </c>
      <c r="H47" s="22"/>
      <c r="I47" s="23" t="s">
        <v>201</v>
      </c>
      <c r="J47" s="14" t="s">
        <v>99</v>
      </c>
    </row>
    <row r="48">
      <c r="B48" s="12" t="s">
        <v>202</v>
      </c>
      <c r="C48" s="22"/>
      <c r="D48" s="14" t="s">
        <v>203</v>
      </c>
      <c r="H48" s="22"/>
      <c r="I48" s="23" t="s">
        <v>204</v>
      </c>
      <c r="J48" s="14" t="s">
        <v>180</v>
      </c>
    </row>
    <row r="50">
      <c r="C50" s="9" t="s">
        <v>205</v>
      </c>
    </row>
    <row r="51">
      <c r="C51" s="10" t="s">
        <v>206</v>
      </c>
      <c r="D51" s="10" t="s">
        <v>207</v>
      </c>
    </row>
    <row r="52">
      <c r="C52" s="26">
        <v>10.0</v>
      </c>
      <c r="D52" s="13" t="s">
        <v>208</v>
      </c>
    </row>
    <row r="53">
      <c r="C53" s="25">
        <v>45626.0</v>
      </c>
      <c r="D53" s="13" t="s">
        <v>209</v>
      </c>
    </row>
    <row r="54">
      <c r="C54" s="23" t="s">
        <v>201</v>
      </c>
      <c r="D54" s="13" t="s">
        <v>210</v>
      </c>
    </row>
    <row r="55">
      <c r="C55" s="23" t="s">
        <v>204</v>
      </c>
      <c r="D55" s="13" t="s">
        <v>211</v>
      </c>
    </row>
  </sheetData>
  <mergeCells count="9">
    <mergeCell ref="B36:D36"/>
    <mergeCell ref="C50:D50"/>
    <mergeCell ref="C2:E2"/>
    <mergeCell ref="H2:I2"/>
    <mergeCell ref="B12:F12"/>
    <mergeCell ref="H18:J18"/>
    <mergeCell ref="B21:C21"/>
    <mergeCell ref="H29:K29"/>
    <mergeCell ref="H35:J3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7.63"/>
    <col customWidth="1" min="2" max="2" width="8.88"/>
    <col customWidth="1" min="3" max="4" width="7.63"/>
    <col customWidth="1" min="5" max="5" width="12.25"/>
    <col customWidth="1" min="6" max="8" width="7.63"/>
    <col customWidth="1" min="9" max="9" width="10.38"/>
    <col customWidth="1" min="10" max="26" width="7.63"/>
  </cols>
  <sheetData>
    <row r="3">
      <c r="A3" s="27" t="s">
        <v>212</v>
      </c>
    </row>
    <row r="5">
      <c r="A5" s="28" t="s">
        <v>213</v>
      </c>
      <c r="D5" s="28" t="s">
        <v>214</v>
      </c>
      <c r="G5" s="28" t="s">
        <v>215</v>
      </c>
    </row>
    <row r="7">
      <c r="A7" s="29" t="s">
        <v>216</v>
      </c>
      <c r="D7" s="29" t="s">
        <v>217</v>
      </c>
      <c r="G7" s="29" t="s">
        <v>218</v>
      </c>
    </row>
    <row r="8">
      <c r="A8" s="29" t="s">
        <v>219</v>
      </c>
      <c r="D8" s="29" t="s">
        <v>220</v>
      </c>
      <c r="G8" s="29" t="s">
        <v>221</v>
      </c>
    </row>
    <row r="9">
      <c r="A9" s="29" t="s">
        <v>222</v>
      </c>
      <c r="D9" s="29" t="s">
        <v>223</v>
      </c>
      <c r="G9" s="29" t="s">
        <v>224</v>
      </c>
    </row>
    <row r="10">
      <c r="A10" s="29" t="s">
        <v>225</v>
      </c>
      <c r="D10" s="29" t="s">
        <v>226</v>
      </c>
      <c r="G10" s="29" t="s">
        <v>227</v>
      </c>
    </row>
    <row r="11">
      <c r="A11" s="29" t="s">
        <v>228</v>
      </c>
      <c r="D11" s="29" t="s">
        <v>229</v>
      </c>
      <c r="G11" s="29" t="s">
        <v>230</v>
      </c>
    </row>
    <row r="12">
      <c r="A12" s="29" t="s">
        <v>231</v>
      </c>
      <c r="D12" s="29" t="s">
        <v>232</v>
      </c>
      <c r="G12" s="29" t="s">
        <v>233</v>
      </c>
    </row>
    <row r="13">
      <c r="A13" s="29" t="s">
        <v>234</v>
      </c>
      <c r="D13" s="29" t="s">
        <v>235</v>
      </c>
      <c r="G13" s="29" t="s">
        <v>236</v>
      </c>
    </row>
    <row r="14">
      <c r="A14" s="29" t="s">
        <v>237</v>
      </c>
      <c r="D14" s="29" t="s">
        <v>238</v>
      </c>
      <c r="G14" s="29" t="s">
        <v>239</v>
      </c>
    </row>
    <row r="15">
      <c r="A15" s="29" t="s">
        <v>240</v>
      </c>
      <c r="D15" s="29" t="s">
        <v>241</v>
      </c>
      <c r="G15" s="29" t="s">
        <v>242</v>
      </c>
    </row>
    <row r="16">
      <c r="A16" s="29" t="s">
        <v>243</v>
      </c>
      <c r="D16" s="29" t="s">
        <v>244</v>
      </c>
      <c r="G16" s="29" t="s">
        <v>245</v>
      </c>
    </row>
    <row r="17">
      <c r="A17" s="29" t="s">
        <v>246</v>
      </c>
      <c r="D17" s="29" t="s">
        <v>247</v>
      </c>
      <c r="G17" s="29" t="s">
        <v>248</v>
      </c>
    </row>
    <row r="18">
      <c r="D18" s="29" t="s">
        <v>249</v>
      </c>
      <c r="G18" s="29" t="s">
        <v>250</v>
      </c>
    </row>
    <row r="19">
      <c r="D19" s="29" t="s">
        <v>251</v>
      </c>
      <c r="G19" s="29" t="s">
        <v>252</v>
      </c>
    </row>
    <row r="20">
      <c r="G20" s="2" t="s">
        <v>253</v>
      </c>
    </row>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3:I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30" t="s">
        <v>254</v>
      </c>
    </row>
    <row r="4">
      <c r="B4" s="31"/>
    </row>
    <row r="5">
      <c r="B5" s="32" t="s">
        <v>255</v>
      </c>
    </row>
    <row r="7">
      <c r="B7" s="31"/>
    </row>
    <row r="8">
      <c r="B8" s="32" t="s">
        <v>256</v>
      </c>
    </row>
    <row r="11">
      <c r="B11" s="31"/>
    </row>
    <row r="12">
      <c r="B12" s="32" t="s">
        <v>257</v>
      </c>
    </row>
    <row r="14">
      <c r="B14" s="31"/>
    </row>
    <row r="15">
      <c r="B15" s="30" t="s">
        <v>258</v>
      </c>
    </row>
    <row r="16">
      <c r="B16" s="31"/>
    </row>
    <row r="17">
      <c r="B17" s="32" t="s">
        <v>259</v>
      </c>
    </row>
    <row r="20">
      <c r="B20" s="31"/>
    </row>
    <row r="21">
      <c r="B21" s="32" t="s">
        <v>260</v>
      </c>
    </row>
    <row r="23">
      <c r="B23" s="31"/>
    </row>
    <row r="24">
      <c r="B24" s="32" t="s">
        <v>261</v>
      </c>
    </row>
    <row r="29">
      <c r="B29" s="31"/>
    </row>
    <row r="30">
      <c r="B30" s="30" t="s">
        <v>262</v>
      </c>
    </row>
    <row r="31">
      <c r="B31" s="31"/>
    </row>
    <row r="32">
      <c r="B32" s="32" t="s">
        <v>263</v>
      </c>
    </row>
    <row r="36">
      <c r="B36" s="31"/>
    </row>
    <row r="37">
      <c r="B37" s="32" t="s">
        <v>264</v>
      </c>
    </row>
    <row r="39">
      <c r="B39" s="31"/>
    </row>
    <row r="40">
      <c r="B40" s="32" t="s">
        <v>265</v>
      </c>
    </row>
    <row r="43">
      <c r="B43" s="31"/>
    </row>
    <row r="44">
      <c r="B44" s="32" t="s">
        <v>266</v>
      </c>
    </row>
    <row r="48">
      <c r="B48" s="31"/>
    </row>
    <row r="49">
      <c r="B49" s="30" t="s">
        <v>267</v>
      </c>
    </row>
    <row r="50">
      <c r="B50" s="31"/>
    </row>
    <row r="51">
      <c r="B51" s="33" t="s">
        <v>268</v>
      </c>
    </row>
  </sheetData>
  <mergeCells count="10">
    <mergeCell ref="B37:J38"/>
    <mergeCell ref="B40:J42"/>
    <mergeCell ref="B44:J47"/>
    <mergeCell ref="B5:J6"/>
    <mergeCell ref="B8:J10"/>
    <mergeCell ref="B12:J13"/>
    <mergeCell ref="B17:J19"/>
    <mergeCell ref="B21:J22"/>
    <mergeCell ref="B24:J28"/>
    <mergeCell ref="B32:J3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30" t="s">
        <v>269</v>
      </c>
    </row>
    <row r="3">
      <c r="A3" s="34"/>
    </row>
    <row r="4">
      <c r="A4" s="35" t="s">
        <v>270</v>
      </c>
    </row>
    <row r="5">
      <c r="B5" s="35" t="s">
        <v>271</v>
      </c>
    </row>
    <row r="6">
      <c r="B6" s="35" t="s">
        <v>272</v>
      </c>
    </row>
    <row r="7">
      <c r="B7" s="35" t="s">
        <v>273</v>
      </c>
    </row>
    <row r="8">
      <c r="A8" s="35" t="s">
        <v>274</v>
      </c>
    </row>
    <row r="9">
      <c r="B9" s="35" t="s">
        <v>275</v>
      </c>
    </row>
    <row r="10">
      <c r="B10" s="35" t="s">
        <v>276</v>
      </c>
    </row>
    <row r="11">
      <c r="B11" s="35" t="s">
        <v>277</v>
      </c>
    </row>
    <row r="12">
      <c r="A12" s="30"/>
    </row>
    <row r="13">
      <c r="A13" s="30" t="s">
        <v>278</v>
      </c>
    </row>
    <row r="14">
      <c r="A14" s="35" t="s">
        <v>279</v>
      </c>
    </row>
    <row r="15">
      <c r="B15" s="35" t="s">
        <v>280</v>
      </c>
    </row>
    <row r="16">
      <c r="A16" s="35" t="s">
        <v>281</v>
      </c>
    </row>
    <row r="17">
      <c r="B17" s="35" t="s">
        <v>282</v>
      </c>
    </row>
    <row r="18">
      <c r="B18" s="35" t="s">
        <v>283</v>
      </c>
    </row>
    <row r="19">
      <c r="B19" s="35" t="s">
        <v>284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2" width="7.63"/>
    <col customWidth="1" min="13" max="13" width="40.38"/>
    <col customWidth="1" min="14" max="14" width="39.13"/>
    <col customWidth="1" min="15" max="26" width="7.63"/>
  </cols>
  <sheetData>
    <row r="3">
      <c r="A3" s="36" t="s">
        <v>285</v>
      </c>
      <c r="M3" s="37" t="s">
        <v>286</v>
      </c>
      <c r="N3" s="38"/>
      <c r="O3" s="28"/>
      <c r="P3" s="28"/>
      <c r="Q3" s="28"/>
      <c r="R3" s="28"/>
      <c r="S3" s="28"/>
      <c r="T3" s="28"/>
      <c r="U3" s="28"/>
      <c r="V3" s="28"/>
    </row>
    <row r="4">
      <c r="M4" s="39" t="s">
        <v>287</v>
      </c>
      <c r="N4" s="39" t="s">
        <v>288</v>
      </c>
    </row>
    <row r="5" ht="15.0" customHeight="1">
      <c r="A5" s="40" t="s">
        <v>289</v>
      </c>
      <c r="M5" s="41" t="s">
        <v>290</v>
      </c>
      <c r="N5" s="41" t="s">
        <v>291</v>
      </c>
    </row>
    <row r="6">
      <c r="M6" s="41" t="s">
        <v>292</v>
      </c>
      <c r="N6" s="41" t="s">
        <v>293</v>
      </c>
    </row>
    <row r="7">
      <c r="M7" s="41" t="s">
        <v>294</v>
      </c>
      <c r="N7" s="41" t="s">
        <v>295</v>
      </c>
    </row>
    <row r="8">
      <c r="M8" s="42"/>
      <c r="N8" s="42"/>
    </row>
    <row r="9">
      <c r="M9" s="42"/>
      <c r="N9" s="42"/>
    </row>
    <row r="10">
      <c r="M10" s="37" t="s">
        <v>296</v>
      </c>
      <c r="N10" s="38"/>
    </row>
    <row r="11">
      <c r="M11" s="39" t="s">
        <v>297</v>
      </c>
      <c r="N11" s="39" t="s">
        <v>298</v>
      </c>
    </row>
    <row r="12">
      <c r="M12" s="41" t="s">
        <v>299</v>
      </c>
      <c r="N12" s="43">
        <v>2.0</v>
      </c>
    </row>
    <row r="13">
      <c r="A13" s="40" t="s">
        <v>300</v>
      </c>
      <c r="M13" s="41" t="s">
        <v>301</v>
      </c>
      <c r="N13" s="43">
        <v>3.0</v>
      </c>
    </row>
    <row r="14">
      <c r="M14" s="41" t="s">
        <v>302</v>
      </c>
      <c r="N14" s="43">
        <v>6.0</v>
      </c>
    </row>
    <row r="15">
      <c r="M15" s="41" t="s">
        <v>303</v>
      </c>
      <c r="N15" s="43">
        <v>12.0</v>
      </c>
    </row>
    <row r="16">
      <c r="A16" s="40" t="s">
        <v>304</v>
      </c>
    </row>
    <row r="21">
      <c r="A21" s="36" t="s">
        <v>305</v>
      </c>
    </row>
    <row r="22"/>
    <row r="23">
      <c r="A23" s="40" t="s">
        <v>306</v>
      </c>
    </row>
    <row r="24"/>
    <row r="25"/>
    <row r="26"/>
    <row r="27"/>
    <row r="28"/>
    <row r="29">
      <c r="A29" s="36" t="s">
        <v>307</v>
      </c>
    </row>
    <row r="30"/>
    <row r="31">
      <c r="A31" s="40" t="s">
        <v>308</v>
      </c>
    </row>
    <row r="32"/>
    <row r="33"/>
    <row r="34"/>
    <row r="35"/>
    <row r="36">
      <c r="A36" s="40" t="s">
        <v>309</v>
      </c>
    </row>
    <row r="37"/>
    <row r="38"/>
    <row r="39">
      <c r="A39" s="40" t="s">
        <v>310</v>
      </c>
    </row>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2">
    <mergeCell ref="A23:J26"/>
    <mergeCell ref="A29:J29"/>
    <mergeCell ref="A31:J34"/>
    <mergeCell ref="A36:J37"/>
    <mergeCell ref="A39:J40"/>
    <mergeCell ref="A3:J3"/>
    <mergeCell ref="M3:N3"/>
    <mergeCell ref="A5:J11"/>
    <mergeCell ref="M10:N10"/>
    <mergeCell ref="A13:J14"/>
    <mergeCell ref="A16:J18"/>
    <mergeCell ref="A21:J21"/>
  </mergeCells>
  <printOptions/>
  <pageMargins bottom="0.75" footer="0.0" header="0.0" left="0.7" right="0.7" top="0.75"/>
  <pageSetup orientation="portrait"/>
  <drawing r:id="rId1"/>
</worksheet>
</file>