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acter Sheet pg1" sheetId="1" r:id="rId5"/>
    <sheet state="visible" name="Character Sheet pg2" sheetId="2" r:id="rId6"/>
    <sheet state="visible" name="Useful Tables" sheetId="3" r:id="rId7"/>
    <sheet state="visible" name="Sheet3" sheetId="4" r:id="rId8"/>
    <sheet state="visible" name="Actions" sheetId="5" r:id="rId9"/>
    <sheet state="visible" name="Barriers" sheetId="6" r:id="rId10"/>
    <sheet state="visible" name="Karma Costs" sheetId="7" r:id="rId11"/>
    <sheet state="visible" name="Character Creation Priority Tab" sheetId="8" r:id="rId12"/>
    <sheet state="visible" name="Session 0 Questions" sheetId="9" r:id="rId13"/>
    <sheet state="visible" name="Character Ideas" sheetId="10" r:id="rId14"/>
    <sheet state="visible" name="Character Activities" sheetId="11" r:id="rId15"/>
  </sheets>
  <definedNames/>
  <calcPr/>
</workbook>
</file>

<file path=xl/sharedStrings.xml><?xml version="1.0" encoding="utf-8"?>
<sst xmlns="http://schemas.openxmlformats.org/spreadsheetml/2006/main" count="590" uniqueCount="446">
  <si>
    <t>Name</t>
  </si>
  <si>
    <t>Race/Station</t>
  </si>
  <si>
    <t>Sex</t>
  </si>
  <si>
    <t>Age</t>
  </si>
  <si>
    <t>Condition Monitors</t>
  </si>
  <si>
    <t>Light</t>
  </si>
  <si>
    <t>Moderate</t>
  </si>
  <si>
    <t>Serious</t>
  </si>
  <si>
    <t>Deadly</t>
  </si>
  <si>
    <t>Mental</t>
  </si>
  <si>
    <t>+1 TN</t>
  </si>
  <si>
    <t>+2 TN</t>
  </si>
  <si>
    <t>+3 TN</t>
  </si>
  <si>
    <t>Damage</t>
  </si>
  <si>
    <t>-1 Init</t>
  </si>
  <si>
    <t>-2 Init</t>
  </si>
  <si>
    <t>-3 Init</t>
  </si>
  <si>
    <t>Description</t>
  </si>
  <si>
    <t>Notes</t>
  </si>
  <si>
    <t>Stun</t>
  </si>
  <si>
    <t>Uncon</t>
  </si>
  <si>
    <t>Attributes</t>
  </si>
  <si>
    <t>Base</t>
  </si>
  <si>
    <t>Mutations</t>
  </si>
  <si>
    <t>Magic</t>
  </si>
  <si>
    <t>Misc</t>
  </si>
  <si>
    <t>Total</t>
  </si>
  <si>
    <t>Physical</t>
  </si>
  <si>
    <t>BODY</t>
  </si>
  <si>
    <t>DEXTERITY</t>
  </si>
  <si>
    <t>STRENGTH</t>
  </si>
  <si>
    <t>Initiative</t>
  </si>
  <si>
    <t>Physical Damage Overflow</t>
  </si>
  <si>
    <t>CHARISMA</t>
  </si>
  <si>
    <t>Reaction</t>
  </si>
  <si>
    <t>INTELLIGENCE</t>
  </si>
  <si>
    <t>#D6</t>
  </si>
  <si>
    <t>Mod</t>
  </si>
  <si>
    <t>Skills</t>
  </si>
  <si>
    <t>WILLPOWER</t>
  </si>
  <si>
    <t>Linked</t>
  </si>
  <si>
    <t>Foci/</t>
  </si>
  <si>
    <t>HUMANITY</t>
  </si>
  <si>
    <t>Karma</t>
  </si>
  <si>
    <t>General</t>
  </si>
  <si>
    <t>Spec</t>
  </si>
  <si>
    <t>Attribute</t>
  </si>
  <si>
    <t>Rating</t>
  </si>
  <si>
    <t>Fetish</t>
  </si>
  <si>
    <t>REACTION (INT+DEX)/2</t>
  </si>
  <si>
    <t>Good</t>
  </si>
  <si>
    <t>Used</t>
  </si>
  <si>
    <t>Pool</t>
  </si>
  <si>
    <t>(MAGIC)</t>
  </si>
  <si>
    <t>Dice Pools</t>
  </si>
  <si>
    <t>Armor</t>
  </si>
  <si>
    <t>Formula</t>
  </si>
  <si>
    <t>Location</t>
  </si>
  <si>
    <t>Piercing</t>
  </si>
  <si>
    <t>Slashing</t>
  </si>
  <si>
    <t>Impact</t>
  </si>
  <si>
    <t>(round down)</t>
  </si>
  <si>
    <t>Torso</t>
  </si>
  <si>
    <t>Spell</t>
  </si>
  <si>
    <t>(CHA+INT+WIL)/2</t>
  </si>
  <si>
    <t>Combat</t>
  </si>
  <si>
    <t>(DEX+INT+WIL)/2</t>
  </si>
  <si>
    <t>Control</t>
  </si>
  <si>
    <t>REACTION</t>
  </si>
  <si>
    <t>Astral</t>
  </si>
  <si>
    <t>(INT+WIL+MAG)/3</t>
  </si>
  <si>
    <t>Legs</t>
  </si>
  <si>
    <t>Head</t>
  </si>
  <si>
    <t>Spells</t>
  </si>
  <si>
    <t>Force</t>
  </si>
  <si>
    <t>Drain</t>
  </si>
  <si>
    <t>Ttl EP</t>
  </si>
  <si>
    <t>Weapons</t>
  </si>
  <si>
    <t>Max EP = Str or Bod +1/2 Str or Bod X4</t>
  </si>
  <si>
    <t>Range</t>
  </si>
  <si>
    <t>Type</t>
  </si>
  <si>
    <t>(Modifiers)</t>
  </si>
  <si>
    <t>Power</t>
  </si>
  <si>
    <t>Conceal</t>
  </si>
  <si>
    <t>Reach</t>
  </si>
  <si>
    <t>EP</t>
  </si>
  <si>
    <t>Short</t>
  </si>
  <si>
    <t>Medium</t>
  </si>
  <si>
    <t>Long</t>
  </si>
  <si>
    <t>Extreme</t>
  </si>
  <si>
    <t>Equipment &amp; Gear</t>
  </si>
  <si>
    <t>Contacts</t>
  </si>
  <si>
    <t>Info</t>
  </si>
  <si>
    <t>Weapon Range Table</t>
  </si>
  <si>
    <t>Ranged Combat Modifiers Table</t>
  </si>
  <si>
    <t>Weapon
 (range in yards)</t>
  </si>
  <si>
    <t>4
 Short Range</t>
  </si>
  <si>
    <t>5
 Medium Range</t>
  </si>
  <si>
    <t>6
 Long Range</t>
  </si>
  <si>
    <t>9
 Extreme Range</t>
  </si>
  <si>
    <t>Situation</t>
  </si>
  <si>
    <t>Modifier</t>
  </si>
  <si>
    <t>Bow</t>
  </si>
  <si>
    <t>0-STR</t>
  </si>
  <si>
    <t>To STRx10</t>
  </si>
  <si>
    <t>To STRx30</t>
  </si>
  <si>
    <t>To STRx60</t>
  </si>
  <si>
    <t>Blind Fire</t>
  </si>
  <si>
    <t>+8</t>
  </si>
  <si>
    <t>Light Crossbow</t>
  </si>
  <si>
    <t>0-STRx2</t>
  </si>
  <si>
    <t>To STRx8</t>
  </si>
  <si>
    <t>To STRx20</t>
  </si>
  <si>
    <t>To STRx40</t>
  </si>
  <si>
    <t>Partial Cover</t>
  </si>
  <si>
    <t>+4</t>
  </si>
  <si>
    <t>Medium Crossbow</t>
  </si>
  <si>
    <t>0-STRx3</t>
  </si>
  <si>
    <t>To STRx12</t>
  </si>
  <si>
    <t>To STRx50</t>
  </si>
  <si>
    <t>Visibility Impaired</t>
  </si>
  <si>
    <t>See Visibility Table</t>
  </si>
  <si>
    <t>Regular</t>
  </si>
  <si>
    <t>Difficult</t>
  </si>
  <si>
    <t>Heavy Crossbow</t>
  </si>
  <si>
    <t>0-STRx5</t>
  </si>
  <si>
    <t>To STRx15</t>
  </si>
  <si>
    <t>Target Running</t>
  </si>
  <si>
    <t>+2</t>
  </si>
  <si>
    <t>Thrown Knife</t>
  </si>
  <si>
    <t>To STRx2</t>
  </si>
  <si>
    <t>To STRx3</t>
  </si>
  <si>
    <t>To STRx5</t>
  </si>
  <si>
    <t>Target Stationary</t>
  </si>
  <si>
    <t>-1</t>
  </si>
  <si>
    <t>Shuriken</t>
  </si>
  <si>
    <t>To STRx7</t>
  </si>
  <si>
    <t>Attacker in Melee Combat</t>
  </si>
  <si>
    <t>+2 per Opponent</t>
  </si>
  <si>
    <t>Grenade</t>
  </si>
  <si>
    <t>Attacker Running</t>
  </si>
  <si>
    <t>+10</t>
  </si>
  <si>
    <t>Attacker Running (difficult ground)</t>
  </si>
  <si>
    <t>+6</t>
  </si>
  <si>
    <t>Attacker Walking</t>
  </si>
  <si>
    <t>+1</t>
  </si>
  <si>
    <t>+3</t>
  </si>
  <si>
    <t>Projectile Weapons Table</t>
  </si>
  <si>
    <t>Attacker Walking (difficult ground)</t>
  </si>
  <si>
    <t>Strength Minimum*</t>
  </si>
  <si>
    <t>Damage Code</t>
  </si>
  <si>
    <t>Attacker Wounded</t>
  </si>
  <si>
    <t>See Damage Modifiers Table</t>
  </si>
  <si>
    <t>Standard Bow</t>
  </si>
  <si>
    <t>1+</t>
  </si>
  <si>
    <t>(STR Min)M</t>
  </si>
  <si>
    <t>Aimed Shot</t>
  </si>
  <si>
    <t>-1 per Simple Action</t>
  </si>
  <si>
    <t>6L</t>
  </si>
  <si>
    <t>Called Shot*</t>
  </si>
  <si>
    <t>6M</t>
  </si>
  <si>
    <t>* A Called Shot either increases the Damage Code by one level (e.g. M becomes S) or targets a specific sub-target on something vehicle-sized or larger (e.g. a window, wheel, or harness)</t>
  </si>
  <si>
    <t>6S</t>
  </si>
  <si>
    <t>Melee Modifiers Table</t>
  </si>
  <si>
    <t>Throwing Knife</t>
  </si>
  <si>
    <t>NA</t>
  </si>
  <si>
    <t>(STR)L</t>
  </si>
  <si>
    <t>Walking</t>
  </si>
  <si>
    <t>Called Shot</t>
  </si>
  <si>
    <t>Running</t>
  </si>
  <si>
    <t>* +1 TN per point lower than Strength Minimum</t>
  </si>
  <si>
    <t>Character has more friends in the melee</t>
  </si>
  <si>
    <t>Opponent has more friends in the melee</t>
  </si>
  <si>
    <t>Visibility Table</t>
  </si>
  <si>
    <t>Condition</t>
  </si>
  <si>
    <t>Normal Vision</t>
  </si>
  <si>
    <t>Low-light Vision</t>
  </si>
  <si>
    <t>Character wounded</t>
  </si>
  <si>
    <t>Full Darkness</t>
  </si>
  <si>
    <t>Character's weapon has longer reach*</t>
  </si>
  <si>
    <t>-1/point longer</t>
  </si>
  <si>
    <t>Minimal Light*</t>
  </si>
  <si>
    <t>Character's weapon has inferior reach*</t>
  </si>
  <si>
    <t>+1/point shorter</t>
  </si>
  <si>
    <t>Partial Light*</t>
  </si>
  <si>
    <t>Character attacking multiple targets**^</t>
  </si>
  <si>
    <t>+2/target</t>
  </si>
  <si>
    <t>Glare*</t>
  </si>
  <si>
    <t>Character has superior position</t>
  </si>
  <si>
    <t>Mist*</t>
  </si>
  <si>
    <t>Opponent prone</t>
  </si>
  <si>
    <t>-2</t>
  </si>
  <si>
    <t>Light Smoke/Fog/Rain*</t>
  </si>
  <si>
    <t>*Only one of these modifiers may be applied, either to the attacker or defender</t>
  </si>
  <si>
    <t>Heavy Smoke/Fog/Rain*</t>
  </si>
  <si>
    <t>**Combat Pool must be applied separately per opponent</t>
  </si>
  <si>
    <t>*1/2 modifier for melee</t>
  </si>
  <si>
    <t>^Penalty is applied to each consecutive opponent at an increasing +2 TN to each opponent after the first</t>
  </si>
  <si>
    <t>Vehicle Damage Modifiers Table</t>
  </si>
  <si>
    <t>Driving Test Modifiers Table</t>
  </si>
  <si>
    <t>Vehicle Damage Level</t>
  </si>
  <si>
    <t>Target Number Modifier</t>
  </si>
  <si>
    <t>Initiative Penalty</t>
  </si>
  <si>
    <t>Speed Rating Reduction</t>
  </si>
  <si>
    <t>No reduction</t>
  </si>
  <si>
    <t>Non-Stressful Situation</t>
  </si>
  <si>
    <t>Stressful Situation</t>
  </si>
  <si>
    <t>GM discretion</t>
  </si>
  <si>
    <t>-3</t>
  </si>
  <si>
    <t>Weather Condition</t>
  </si>
  <si>
    <t>Bad</t>
  </si>
  <si>
    <t>Impact Damage Levels Table</t>
  </si>
  <si>
    <t>Terrible</t>
  </si>
  <si>
    <t>Vehicle Speed (yards/turn)</t>
  </si>
  <si>
    <t>Damage Level</t>
  </si>
  <si>
    <t>Terrain</t>
  </si>
  <si>
    <t>Light (L)</t>
  </si>
  <si>
    <t>Open</t>
  </si>
  <si>
    <t>Moderate (M)</t>
  </si>
  <si>
    <t>Normal</t>
  </si>
  <si>
    <t>31-40</t>
  </si>
  <si>
    <t>Serious (S)</t>
  </si>
  <si>
    <t>Restricted</t>
  </si>
  <si>
    <t>41+</t>
  </si>
  <si>
    <t>Destroyed (D)</t>
  </si>
  <si>
    <t>Tight</t>
  </si>
  <si>
    <t>Vehicle Exceeds Speed Rating</t>
  </si>
  <si>
    <t>+1 per increment</t>
  </si>
  <si>
    <t>Healing Table</t>
  </si>
  <si>
    <t>Crash Test Modifiers Table</t>
  </si>
  <si>
    <t>Base Time*</t>
  </si>
  <si>
    <t>Target Number</t>
  </si>
  <si>
    <t>Care Level</t>
  </si>
  <si>
    <t>30 days</t>
  </si>
  <si>
    <t>Doctor, Nurse or Biotech trained</t>
  </si>
  <si>
    <t>Driver Wounded</t>
  </si>
  <si>
    <t>+ Damage Modifier</t>
  </si>
  <si>
    <t>20 days</t>
  </si>
  <si>
    <t>Doctor visit</t>
  </si>
  <si>
    <t>Vehicle Damaged</t>
  </si>
  <si>
    <t>10 days</t>
  </si>
  <si>
    <t>Self</t>
  </si>
  <si>
    <t>after full rest</t>
  </si>
  <si>
    <t>auto</t>
  </si>
  <si>
    <t>*divide number of successes into the base time to detmine actual healing time</t>
  </si>
  <si>
    <t>Falling Damage Table</t>
  </si>
  <si>
    <t>Vehicle Speed</t>
  </si>
  <si>
    <t>Distance Fallen (yrds)</t>
  </si>
  <si>
    <t>Damage Level*</t>
  </si>
  <si>
    <t>21+</t>
  </si>
  <si>
    <t>Deadly (D)</t>
  </si>
  <si>
    <t>*Power level equal to 1/2 yrds fallen, - Impact armor</t>
  </si>
  <si>
    <t>can also make Athletics Test, TN equal yrds fallen, each success minus from Power level</t>
  </si>
  <si>
    <t>Actions</t>
  </si>
  <si>
    <t>Free Actions</t>
  </si>
  <si>
    <t>Simple Actions</t>
  </si>
  <si>
    <t>Complex Actions</t>
  </si>
  <si>
    <t>Activate Mutation</t>
  </si>
  <si>
    <t>Activate Focus</t>
  </si>
  <si>
    <t>Astral Projection</t>
  </si>
  <si>
    <t>Call a Shot</t>
  </si>
  <si>
    <t>Call Nature Spirit</t>
  </si>
  <si>
    <t>Banish Spirit</t>
  </si>
  <si>
    <t>Deactivate Focus</t>
  </si>
  <si>
    <t>Change Position</t>
  </si>
  <si>
    <t>Call Elemental</t>
  </si>
  <si>
    <t>Delay Action</t>
  </si>
  <si>
    <t>Command a Spirit</t>
  </si>
  <si>
    <t>Cast Spell</t>
  </si>
  <si>
    <t>Drop Object</t>
  </si>
  <si>
    <t>Shoot Weapon</t>
  </si>
  <si>
    <t>Control Spirit</t>
  </si>
  <si>
    <t>Drop Prone</t>
  </si>
  <si>
    <t>Observe in Detail</t>
  </si>
  <si>
    <t>Erase Astral Signature</t>
  </si>
  <si>
    <t>Drop Sustained Spell</t>
  </si>
  <si>
    <t>Pick up/Put down Object</t>
  </si>
  <si>
    <t>Fire Automatic Weapon???</t>
  </si>
  <si>
    <t>Gesture</t>
  </si>
  <si>
    <t>Quick Draw</t>
  </si>
  <si>
    <t>Fire Mounted or Vehicle Weapon</t>
  </si>
  <si>
    <t>Observe</t>
  </si>
  <si>
    <t>Ready Weapon</t>
  </si>
  <si>
    <t>Melee/unarmed Atack</t>
  </si>
  <si>
    <t>Speak a Word</t>
  </si>
  <si>
    <t>Shift Perception (Astral)</t>
  </si>
  <si>
    <t>Reload Firearm???</t>
  </si>
  <si>
    <t>Spell Defense</t>
  </si>
  <si>
    <t>Take Aim</t>
  </si>
  <si>
    <t>Summon Nature Spirit</t>
  </si>
  <si>
    <t>Throw Weapon</t>
  </si>
  <si>
    <t>Use Complex Object</t>
  </si>
  <si>
    <t>Use Simple Object</t>
  </si>
  <si>
    <t>Use Skill (usually)</t>
  </si>
  <si>
    <t>Driver Actions</t>
  </si>
  <si>
    <t>Firing Through a Barrier</t>
  </si>
  <si>
    <t>Barrier Effect Table</t>
  </si>
  <si>
    <t>Power of Attack</t>
  </si>
  <si>
    <t>Effect</t>
  </si>
  <si>
    <t>A character firing a ranged weapon at a target on the other side of a barrier suffers the +8 Blind Fire target-number modifier because he cannot see the intended target. If the intervening barrier is transparent, the modifier does not apply. Either way, the firing character makes the standard Success Test, except that the Power of the attack is reduced by the target’s appropriate Armor Rating (if the target is wearing armor) and the adjusted Barrier Rating of the barrier. For example, a character wearing 3 points of armor and standing on the far side of a Rating 4 barrier would subtract a total of 7 from the Power of the attack.</t>
  </si>
  <si>
    <t>Less than 1/2 of adjusted Barrier Rating</t>
  </si>
  <si>
    <t>No effect, barrier holds, minor cosmetic damage</t>
  </si>
  <si>
    <t>Equal to or greater than 1/2 adjusted Barrier Rating</t>
  </si>
  <si>
    <t>Barrier damaged, -1 to Barrier Rating</t>
  </si>
  <si>
    <t>Greater than adjusted Barrier Rating</t>
  </si>
  <si>
    <t>1/2 yard hole opens in Barrier per 1/2 increment Power exceeds Barrier Rating, -1 to Barrier Rating</t>
  </si>
  <si>
    <t>Barrier Rating Table</t>
  </si>
  <si>
    <t>Material</t>
  </si>
  <si>
    <t>Glass</t>
  </si>
  <si>
    <t>If the Barrier Rating exceeds the Power of the attack, the barrier stops the attack cold. However, the attack may still damage the barrier by reducing its rating.</t>
  </si>
  <si>
    <t>Thin Wood</t>
  </si>
  <si>
    <t>Wood</t>
  </si>
  <si>
    <t>Iron</t>
  </si>
  <si>
    <t>Against melee attacks with blunt weapons such as fists, clubs or similar items, a barrier maintains its normal rating. Against melee attacks with edged weapons, such as swords and the like, the barrier has twice its normal rating.</t>
  </si>
  <si>
    <t>Object Resistance Table</t>
  </si>
  <si>
    <t>Category</t>
  </si>
  <si>
    <t>TN</t>
  </si>
  <si>
    <t>Blast against Barriers</t>
  </si>
  <si>
    <t>Natural Objects</t>
  </si>
  <si>
    <t xml:space="preserve">   (Trees, Soil, Natural Water)</t>
  </si>
  <si>
    <t>3</t>
  </si>
  <si>
    <t>When a grenade-like weapon's blast hits a barrier such as a wall, door or other similar structure, compare the remaining Power of the blast (reduced by distance at -1 per yard) against twice the Barrier Rating of the object (see the Barrier Rating Table below). To find the blast’s effect on the barrier, consult the Barrier Effect Table.</t>
  </si>
  <si>
    <t>Manufactured Low-Tech Objects and Materials</t>
  </si>
  <si>
    <t xml:space="preserve">   (Brick, Leather, Basic Metals)</t>
  </si>
  <si>
    <t>5</t>
  </si>
  <si>
    <t>Manufactured High-Tech Objects and Materials</t>
  </si>
  <si>
    <t xml:space="preserve">    (Alloys, Masterwork Items)</t>
  </si>
  <si>
    <t>8</t>
  </si>
  <si>
    <t>Advanced Objects</t>
  </si>
  <si>
    <t xml:space="preserve">    (Magical Items, Alien Construction)</t>
  </si>
  <si>
    <t>10+</t>
  </si>
  <si>
    <t>Breaking Through Barriers</t>
  </si>
  <si>
    <t>Attacks to break through a barrier (most commonly doors) are resolved in a similar manner to the rules for Blast against Barriers (see below), except that the barrier has twice its normal Barrier Rating against projectile weapon attacks. This increase accounts for the fact that even though an arrow or bolt is powerful, it punches only a tiny hole.</t>
  </si>
  <si>
    <t>Against melee attacks, a barrier has twice its normal Barrier Rating. Against combat spells, barriers have twice their normal rating. Against elemental manipulation spells, use the normal Barrier Rating.</t>
  </si>
  <si>
    <t>A regular door will break open when its Barrier Rating is reduced to one-half. A security door’s rating must be reduced to 0 before it will break open.</t>
  </si>
  <si>
    <t>Attribute Improvement Cost Table</t>
  </si>
  <si>
    <t>Current Attribute score</t>
  </si>
  <si>
    <t>Karma Cost*</t>
  </si>
  <si>
    <t>under 9</t>
  </si>
  <si>
    <t>2 * new Score</t>
  </si>
  <si>
    <t>9 or over</t>
  </si>
  <si>
    <t>3 * new Score</t>
  </si>
  <si>
    <t>*Karma costs are paid at each increment</t>
  </si>
  <si>
    <t>Skill Improvement Cost Table</t>
  </si>
  <si>
    <t>Base Skill*</t>
  </si>
  <si>
    <t>Active</t>
  </si>
  <si>
    <t>Knowledge/Language</t>
  </si>
  <si>
    <t>New Skill Rating is...</t>
  </si>
  <si>
    <t>Less than or equal to Attribute Rating</t>
  </si>
  <si>
    <t>Less than or equal to 2 * Attribute Rating</t>
  </si>
  <si>
    <t>More than 2 * Attribute Rating</t>
  </si>
  <si>
    <t>Specializations*</t>
  </si>
  <si>
    <t>Priority</t>
  </si>
  <si>
    <t>Station</t>
  </si>
  <si>
    <t>Resources</t>
  </si>
  <si>
    <t>A</t>
  </si>
  <si>
    <t>Nobility/Merchant (+5 add'l Attribute Pnts)</t>
  </si>
  <si>
    <t>Full Magician</t>
  </si>
  <si>
    <t>20 (10 cap w/ bonuses)</t>
  </si>
  <si>
    <t>B</t>
  </si>
  <si>
    <t>Shop owner/Professional (+4 add'l Attribute Pnts)</t>
  </si>
  <si>
    <t>Adept</t>
  </si>
  <si>
    <t>18 (9 cap w/bonuses)</t>
  </si>
  <si>
    <t>C</t>
  </si>
  <si>
    <t>Military/Freeman (+3 add'l Attribute Pnts)</t>
  </si>
  <si>
    <t>16 (8 cap w/bonuses)</t>
  </si>
  <si>
    <t>D</t>
  </si>
  <si>
    <t>Serf/Peasant (+2 add'l Attribute Pnts)</t>
  </si>
  <si>
    <t>14 (7 cap w/ bonuses)</t>
  </si>
  <si>
    <t>E</t>
  </si>
  <si>
    <t>Beggar/Pauper (+1 add'l Attribute Pnt)</t>
  </si>
  <si>
    <t>12 (6 cap w/bonuses)</t>
  </si>
  <si>
    <t>Knowledge Skills</t>
  </si>
  <si>
    <t>INT*5</t>
  </si>
  <si>
    <t>points</t>
  </si>
  <si>
    <t>Language Skills</t>
  </si>
  <si>
    <t>INT</t>
  </si>
  <si>
    <t>create new starting pool of knowledge skills called vocational</t>
  </si>
  <si>
    <t>Int*2</t>
  </si>
  <si>
    <t>or maybe average of stats linked to vocational skill</t>
  </si>
  <si>
    <t>Additional Spell Points</t>
  </si>
  <si>
    <t>RP</t>
  </si>
  <si>
    <t>e.g. Blacksmithing could be seen as linked to Str and Int, so starting skill would be average of the two</t>
  </si>
  <si>
    <t>4 Str</t>
  </si>
  <si>
    <t>3 INT</t>
  </si>
  <si>
    <t>starting Blacksmithing would be 3 (4+3/2 rounded down)</t>
  </si>
  <si>
    <t>if you want to have more than one vocation, then divide the starting skill level by the number of vocations you start with</t>
  </si>
  <si>
    <t>e.g. Blacksmithing is a 3 from above, but you pick Carpentry as well. it is also a 3. new starting skill level for both would become 1 (3/#of vactions2 rounded down)</t>
  </si>
  <si>
    <t>Session 0 Questions</t>
  </si>
  <si>
    <t>1.</t>
  </si>
  <si>
    <t>Who is your biggest rival currently and why?</t>
  </si>
  <si>
    <t>2.</t>
  </si>
  <si>
    <t>Who/What do you despise currently?</t>
  </si>
  <si>
    <t>3.</t>
  </si>
  <si>
    <t>Who looks up to you and why?</t>
  </si>
  <si>
    <t>4.</t>
  </si>
  <si>
    <t>What is your most prized possession(s) currently and why?</t>
  </si>
  <si>
    <t>5.</t>
  </si>
  <si>
    <t>How have you gained your success or suffered your failure?</t>
  </si>
  <si>
    <t>6.</t>
  </si>
  <si>
    <t>What currently drives you and why?</t>
  </si>
  <si>
    <t>7.</t>
  </si>
  <si>
    <t>Name your current closest friend(s) and what you like about them.</t>
  </si>
  <si>
    <t>8.</t>
  </si>
  <si>
    <t>Who has trained you and why? What have they trained you in?</t>
  </si>
  <si>
    <t>9.</t>
  </si>
  <si>
    <t>Are you close to your Mother? Father? Siblings? Children? Extended family?</t>
  </si>
  <si>
    <t>10.</t>
  </si>
  <si>
    <t>Describe why your current relationship with your family members is in its current state.</t>
  </si>
  <si>
    <t>11.</t>
  </si>
  <si>
    <t>Do you have a current love interest and who? Do they love you in return?</t>
  </si>
  <si>
    <t>12.</t>
  </si>
  <si>
    <t>Are you in a relationship?</t>
  </si>
  <si>
    <t>13.</t>
  </si>
  <si>
    <t>Who has been your greatest love?</t>
  </si>
  <si>
    <t>14.</t>
  </si>
  <si>
    <t>Do you bathe often? How often? When was the last time you bathed?</t>
  </si>
  <si>
    <t>15.</t>
  </si>
  <si>
    <t>Have you killed anyone? Who? Why? Where? When? How? How many?</t>
  </si>
  <si>
    <t>16.</t>
  </si>
  <si>
    <t>Have you been jailed/imprisoned? When? Why? Where? How long?</t>
  </si>
  <si>
    <t>17.</t>
  </si>
  <si>
    <t>How do you look and what do you wear regularly?</t>
  </si>
  <si>
    <t>18.</t>
  </si>
  <si>
    <t>Describe any of your mannerisms that are easily noticed within a short time</t>
  </si>
  <si>
    <t>19.</t>
  </si>
  <si>
    <t>What are your greatest virtues?</t>
  </si>
  <si>
    <t>20.</t>
  </si>
  <si>
    <t>What are your greatest flaws?</t>
  </si>
  <si>
    <t>Examples of Character Ideas</t>
  </si>
  <si>
    <t>It's time to think about what kind of character you would like to play before the game begins. Ask yourself some questions. Do you think magic characters rock? Perhaps you want to play a compulsive liar who can easily pull the wool over people’s eyes? Or maybe the character specifics don’t matter as long as you get to wield the most lethal-looking weapon in the game? Or maybe you’d like to play a con-artist who is magically-active and is carrying that lethal weapon …</t>
  </si>
  <si>
    <t>The following terms refer to characters who specialize in various fields.</t>
  </si>
  <si>
    <t>Mages are one type of magician character, known for using thaumaturgical abilities in a scientific manner. To mages, magic is about knowledge and structure. Mages cast spells, and conjure elemental spirits, and perceive and project astrally once they become initiates,.</t>
  </si>
  <si>
    <t>Adepts use magic to enhance the body’s abilities. Adepts tend to be athletically oriented, with good stealth and combat skills. A couple archetypes that lend themselves well to adept characters are ninjas and berserkers.</t>
  </si>
  <si>
    <t>Shamans are magicians who follow a totem spirit animal or an aspect of nature, such as Coyote, Bear or Moon, and embody that totem’s characteristics. To shamans, magic is attunement with the forces of nature. Like mages, they can cast spells and astrally project and perceive once they become initiates. They also conjure nature spirits and Spirits of Man.</t>
  </si>
  <si>
    <t>Knights and/or Mercenaries tend to be physically enhanced combat monsters. With mutations and combat skills, they attempt to be the quickest, meanest and strongest killing machines on the battlefield. Many of them have enhanced reflexes to get an edge or boost their strength to inflict more damage. Many are lethal with a variety of weapons. Some fight for honor, some because they get paid for it, and others because they are insane enough to go up against anything.</t>
  </si>
  <si>
    <t>These basic character archetypes are just the tip of the iceberg and are not meant to define a set of character classes. Players can create a dizzying variety of characters using the character creation rules, for example, a detective character who relies on charisma and skill as opposed to mutations, or a covert operations specialist who has all the gear and mutations necessary to penetrate most defenses. The only limit is your imagination.</t>
  </si>
  <si>
    <t>Examples of Character Activities</t>
  </si>
  <si>
    <t>The ones in power make the laws, and they tend toward laws that favor themselves. Most characters know that the Crown and Clergy will bend or break the law whenever they need to. When they choose to break the law, characters may get involved as deniable assets. Depending on the characters' current objectives, random chance or the actions of opponents, lawbreaking can occur in a variety of ways. Many adventures involve several specific criminal operations, many of which are described below.</t>
  </si>
  <si>
    <t>Extractions are arranged to steal valuable personnel from other groups. Top scientists, skilled accountants and others with valuable knowledge can be hot commodities, and are suitably protected. The “victims” in extractions can be willing targets. Some groups consider certain personnel so valuable that they would rather see them dead than working for a rival; attempts to extract these people may fall afoul of deadly contingency plans.</t>
  </si>
  <si>
    <t>Courier runs are glorified delivery jobs. Most often, the object to be delivered is of strategic or monetary importance, or is otherwise valuable and so needs protection from others who want it. Characters hired for this job must make sure the object reaches its destination safely and intact. Smuggling is similar to courier work. Smuggling can be quite lucrative if the characters know the markets. Such work usually goes hand in hand with piracy, as pirates are often the cheapest source for illicit goods.</t>
  </si>
  <si>
    <t>Wetwork is assassination, pure and simple. Many characters refuse to take these jobs, and view dirtying their hands for money in this way as vile. This world contains many factions, each with multitudes of enemies who they may find most convenient and cost effective to simply remove. Nobles, law enforcement or underworld figures sometimes place bounties on certain individuals; collecting on these can be profitable, if risky.</t>
  </si>
  <si>
    <t>B &amp; E stands for breaking and entering. Many adventures involve B &amp; E in some way, whether to steal something, commit sabotage, plant false evidence or otherwise further the nefarious plot of this week’s employer. Most locations holding these items rely on security to keep things safe. Any party worth its name is going to need the know-how, the creativity or the brute force to bypass these defenses.</t>
  </si>
  <si>
    <t>Hooding is robbing from the rich to give to the poor, a definition that has gradually expanded to include any adventure spurred more by a commitment to social justice than anything else. Examples include destroying a business that is known for oppressive methods against their workers, mugging the protection-racket enforcers and returning the money they stole to the neighborhood, or defending a community from attacks by local thugs or Witchhunter extermination squads. Some view many such acts as “terrorism,” while more cynical people may view such social concern as a weakness to be exploited.</t>
  </si>
  <si>
    <t>Structure hits are sabotage intended to do structural damage to the target that will cost time, coin, work and perhaps more to repair or recover. Adventures of this nature often involve reconnaissance and study to determine structural weaknesses . Structure hits can be accomplished many ways, such as fire from rampaging elementals.</t>
  </si>
  <si>
    <t>These types of criminal operations are just the beginning of a long list of adventuring possibilities. Some may be simple investigations, or may involve low-level criminal activity such as drug dealing, forgery or holdups. Breaking the law can easily become an everyday occurrence for characters. In fact, some characters break it simply by their existence; they have obvious mutations, identifying them as inhuman monstrosities, or they practice magic in secret, hiding in the shadows from the feared Witchhunter squads of the Church. While some characters have legitimate employment, many do not. Much of the weapons and gear associated with adventuring is also restricted, and so characters must take care to cache their gear and maintain safehouses.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</si>
</sst>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00_);_(* \(#,##0.00\);_(* &quot;-&quot;??_);_(@_)"/>
    <numFmt numFmtId="165" formatCode="m-d"/>
  </numFmts>
  <fonts count="20">
    <font>
      <sz val="10.0"/>
      <color rgb="FF000000"/>
      <name val="Arial"/>
      <scheme val="minor"/>
    </font>
    <font>
      <sz val="10.0"/>
      <color theme="1"/>
      <name val="Calibri"/>
    </font>
    <font/>
    <font>
      <b/>
      <sz val="10.0"/>
      <color theme="1"/>
      <name val="Calibri"/>
    </font>
    <font>
      <b/>
      <sz val="16.0"/>
      <color rgb="FF1E4E79"/>
      <name val="Calibri"/>
    </font>
    <font>
      <b/>
      <sz val="11.0"/>
      <color theme="1"/>
      <name val="Calibri"/>
    </font>
    <font>
      <sz val="11.0"/>
      <color theme="1"/>
      <name val="Calibri"/>
    </font>
    <font>
      <color theme="1"/>
      <name val="Arial"/>
      <scheme val="minor"/>
    </font>
    <font>
      <i/>
      <color theme="1"/>
      <name val="Arial"/>
      <scheme val="minor"/>
    </font>
    <font>
      <i/>
      <sz val="11.0"/>
      <color theme="1"/>
      <name val="Calibri"/>
    </font>
    <font>
      <color theme="1"/>
      <name val="Arial"/>
    </font>
    <font>
      <b/>
      <color theme="1"/>
      <name val="Arial"/>
      <scheme val="minor"/>
    </font>
    <font>
      <b/>
      <sz val="12.0"/>
      <color theme="1"/>
      <name val="Calibri"/>
    </font>
    <font>
      <b/>
      <sz val="16.0"/>
      <color theme="1"/>
      <name val="Calibri"/>
    </font>
    <font>
      <b/>
      <sz val="13.0"/>
      <color theme="1"/>
      <name val="Calibri"/>
    </font>
    <font>
      <color theme="1"/>
      <name val="Calibri"/>
    </font>
    <font>
      <sz val="11.0"/>
      <color theme="1"/>
      <name val="Arial"/>
      <scheme val="minor"/>
    </font>
    <font>
      <b/>
      <sz val="11.0"/>
      <color rgb="FF000000"/>
      <name val="Calibri"/>
    </font>
    <font>
      <sz val="11.0"/>
      <color rgb="FF000000"/>
      <name val="Calibri"/>
    </font>
    <font>
      <b/>
      <sz val="14.0"/>
      <color theme="1"/>
      <name val="Calibri"/>
    </font>
  </fonts>
  <fills count="6">
    <fill>
      <patternFill patternType="none"/>
    </fill>
    <fill>
      <patternFill patternType="lightGray"/>
    </fill>
    <fill>
      <patternFill patternType="solid">
        <fgColor rgb="FFD0CECE"/>
        <bgColor rgb="FFD0CECE"/>
      </patternFill>
    </fill>
    <fill>
      <patternFill patternType="solid">
        <fgColor rgb="FFFFE599"/>
        <bgColor rgb="FFFFE599"/>
      </patternFill>
    </fill>
    <fill>
      <patternFill patternType="solid">
        <fgColor rgb="FFD9D9D9"/>
        <bgColor rgb="FFD9D9D9"/>
      </patternFill>
    </fill>
    <fill>
      <patternFill patternType="solid">
        <fgColor theme="6"/>
        <bgColor theme="6"/>
      </patternFill>
    </fill>
  </fills>
  <borders count="38">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rder>
    <border>
      <left style="medium">
        <color rgb="FF000000"/>
      </left>
    </border>
    <border>
      <right style="medium">
        <color rgb="FF000000"/>
      </right>
    </border>
    <border>
      <left style="medium">
        <color rgb="FF000000"/>
      </left>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right/>
      <top/>
      <bottom/>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rder>
    <border>
      <left style="thin">
        <color rgb="FF000000"/>
      </left>
      <bottom style="medium">
        <color rgb="FF000000"/>
      </bottom>
    </border>
    <border>
      <left style="thin">
        <color rgb="FF000000"/>
      </left>
    </border>
    <border>
      <bottom style="thin">
        <color rgb="FFA3A3A3"/>
      </bottom>
    </border>
    <border>
      <left style="thin">
        <color rgb="FFA3A3A3"/>
      </left>
      <right style="thin">
        <color rgb="FFA3A3A3"/>
      </right>
      <bottom style="thin">
        <color rgb="FFA3A3A3"/>
      </bottom>
    </border>
    <border>
      <right style="thin">
        <color rgb="FFA3A3A3"/>
      </right>
      <bottom style="thin">
        <color rgb="FFA3A3A3"/>
      </bottom>
    </border>
    <border>
      <left style="thin">
        <color rgb="FF000000"/>
      </left>
      <right style="thin">
        <color rgb="FF000000"/>
      </right>
      <top style="thin">
        <color rgb="FF000000"/>
      </top>
      <bottom style="thin">
        <color rgb="FF000000"/>
      </bottom>
    </border>
    <border>
      <bottom style="medium">
        <color rgb="FFA3A3A3"/>
      </bottom>
    </border>
    <border>
      <left style="medium">
        <color rgb="FFA3A3A3"/>
      </left>
      <right style="medium">
        <color rgb="FFA3A3A3"/>
      </right>
      <top style="medium">
        <color rgb="FFA3A3A3"/>
      </top>
      <bottom style="medium">
        <color rgb="FFA3A3A3"/>
      </bottom>
    </border>
  </borders>
  <cellStyleXfs count="1">
    <xf borderId="0" fillId="0" fontId="0" numFmtId="0" applyAlignment="1" applyFont="1"/>
  </cellStyleXfs>
  <cellXfs count="178">
    <xf borderId="0" fillId="0" fontId="0" numFmtId="0" xfId="0" applyAlignment="1" applyFont="1">
      <alignment readingOrder="0" shrinkToFit="0" vertical="bottom" wrapText="0"/>
    </xf>
    <xf borderId="0" fillId="0" fontId="1" numFmtId="0" xfId="0" applyFont="1"/>
    <xf borderId="1" fillId="0" fontId="1" numFmtId="0" xfId="0" applyAlignment="1" applyBorder="1" applyFont="1">
      <alignment horizontal="left" shrinkToFit="0" wrapText="1"/>
    </xf>
    <xf borderId="2" fillId="0" fontId="2" numFmtId="0" xfId="0" applyBorder="1" applyFont="1"/>
    <xf borderId="3" fillId="0" fontId="2" numFmtId="0" xfId="0" applyBorder="1" applyFont="1"/>
    <xf borderId="4" fillId="0" fontId="1" numFmtId="0" xfId="0" applyAlignment="1" applyBorder="1" applyFont="1">
      <alignment horizontal="left" shrinkToFit="0" wrapText="1"/>
    </xf>
    <xf borderId="0" fillId="0" fontId="1" numFmtId="0" xfId="0" applyAlignment="1" applyFont="1">
      <alignment horizontal="left" shrinkToFit="0" wrapText="1"/>
    </xf>
    <xf borderId="0" fillId="0" fontId="3" numFmtId="0" xfId="0" applyAlignment="1" applyFont="1">
      <alignment horizontal="left"/>
    </xf>
    <xf borderId="5" fillId="0" fontId="2" numFmtId="0" xfId="0" applyBorder="1" applyFont="1"/>
    <xf borderId="6" fillId="0" fontId="2" numFmtId="0" xfId="0" applyBorder="1" applyFont="1"/>
    <xf borderId="7" fillId="0" fontId="2" numFmtId="0" xfId="0" applyBorder="1" applyFont="1"/>
    <xf borderId="0" fillId="0" fontId="3" numFmtId="0" xfId="0" applyAlignment="1" applyFont="1">
      <alignment horizontal="center"/>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 fillId="0" fontId="1" numFmtId="0" xfId="0" applyBorder="1" applyFont="1"/>
    <xf quotePrefix="1" borderId="4" fillId="0" fontId="1" numFmtId="0" xfId="0" applyAlignment="1" applyBorder="1" applyFont="1">
      <alignment horizontal="center" vertical="center"/>
    </xf>
    <xf borderId="4" fillId="0" fontId="1" numFmtId="0" xfId="0" applyAlignment="1" applyBorder="1" applyFont="1">
      <alignment horizontal="center" vertical="center"/>
    </xf>
    <xf quotePrefix="1" borderId="4" fillId="0" fontId="1" numFmtId="49" xfId="0" applyAlignment="1" applyBorder="1" applyFont="1" applyNumberFormat="1">
      <alignment horizontal="center" vertical="center"/>
    </xf>
    <xf borderId="4" fillId="0" fontId="1" numFmtId="0" xfId="0" applyAlignment="1" applyBorder="1" applyFont="1">
      <alignment horizontal="center"/>
    </xf>
    <xf borderId="8" fillId="0" fontId="1" numFmtId="0" xfId="0" applyBorder="1" applyFont="1"/>
    <xf quotePrefix="1" borderId="11" fillId="0" fontId="1" numFmtId="0" xfId="0" applyAlignment="1" applyBorder="1" applyFont="1">
      <alignment horizontal="center" vertical="center"/>
    </xf>
    <xf quotePrefix="1" borderId="11" fillId="0" fontId="1" numFmtId="49" xfId="0" applyAlignment="1" applyBorder="1" applyFont="1" applyNumberFormat="1">
      <alignment horizontal="center" vertical="center"/>
    </xf>
    <xf borderId="1" fillId="0" fontId="1" numFmtId="0" xfId="0" applyAlignment="1" applyBorder="1" applyFont="1">
      <alignment horizontal="left"/>
    </xf>
    <xf borderId="12" fillId="2" fontId="1" numFmtId="0" xfId="0" applyBorder="1" applyFill="1" applyFont="1"/>
    <xf borderId="12" fillId="2" fontId="1" numFmtId="0" xfId="0" applyAlignment="1" applyBorder="1" applyFont="1">
      <alignment horizontal="center" vertical="center"/>
    </xf>
    <xf borderId="12" fillId="2" fontId="1" numFmtId="49" xfId="0" applyAlignment="1" applyBorder="1" applyFont="1" applyNumberFormat="1">
      <alignment horizontal="center" vertical="center"/>
    </xf>
    <xf borderId="4" fillId="0" fontId="1" numFmtId="49" xfId="0" applyAlignment="1" applyBorder="1" applyFont="1" applyNumberFormat="1">
      <alignment horizontal="center" vertical="center"/>
    </xf>
    <xf borderId="0" fillId="0" fontId="1" numFmtId="0" xfId="0" applyAlignment="1" applyFont="1">
      <alignment horizontal="left"/>
    </xf>
    <xf borderId="11" fillId="0" fontId="1" numFmtId="0" xfId="0" applyAlignment="1" applyBorder="1" applyFont="1">
      <alignment horizontal="center" vertical="center"/>
    </xf>
    <xf borderId="11" fillId="0" fontId="1" numFmtId="49" xfId="0" applyAlignment="1" applyBorder="1" applyFont="1" applyNumberFormat="1">
      <alignment horizontal="center" vertical="center"/>
    </xf>
    <xf borderId="1" fillId="0" fontId="3" numFmtId="0" xfId="0" applyAlignment="1" applyBorder="1" applyFont="1">
      <alignment horizontal="left"/>
    </xf>
    <xf borderId="2" fillId="0" fontId="3" numFmtId="0" xfId="0" applyBorder="1" applyFont="1"/>
    <xf borderId="3" fillId="0" fontId="3" numFmtId="0" xfId="0" applyBorder="1" applyFont="1"/>
    <xf borderId="0" fillId="0" fontId="3" numFmtId="0" xfId="0" applyFont="1"/>
    <xf borderId="5" fillId="0" fontId="3" numFmtId="0" xfId="0" applyAlignment="1" applyBorder="1" applyFont="1">
      <alignment horizontal="center"/>
    </xf>
    <xf borderId="6" fillId="0" fontId="3" numFmtId="0" xfId="0" applyAlignment="1" applyBorder="1" applyFont="1">
      <alignment horizontal="center"/>
    </xf>
    <xf borderId="13" fillId="0" fontId="1" numFmtId="0" xfId="0" applyAlignment="1" applyBorder="1" applyFont="1">
      <alignment horizontal="right"/>
    </xf>
    <xf borderId="14" fillId="0" fontId="2" numFmtId="0" xfId="0" applyBorder="1" applyFont="1"/>
    <xf borderId="14" fillId="3" fontId="1" numFmtId="0" xfId="0" applyBorder="1" applyFill="1" applyFont="1"/>
    <xf borderId="15" fillId="4" fontId="3" numFmtId="0" xfId="0" applyBorder="1" applyFill="1" applyFont="1"/>
    <xf borderId="16" fillId="0" fontId="1" numFmtId="0" xfId="0" applyAlignment="1" applyBorder="1" applyFont="1">
      <alignment horizontal="right"/>
    </xf>
    <xf borderId="17" fillId="0" fontId="2" numFmtId="0" xfId="0" applyBorder="1" applyFont="1"/>
    <xf borderId="18" fillId="0" fontId="1" numFmtId="0" xfId="0" applyBorder="1" applyFont="1"/>
    <xf borderId="5" fillId="0" fontId="3" numFmtId="0" xfId="0" applyBorder="1" applyFont="1"/>
    <xf borderId="3" fillId="0" fontId="3" numFmtId="0" xfId="0" applyAlignment="1" applyBorder="1" applyFont="1">
      <alignment horizontal="center"/>
    </xf>
    <xf borderId="8" fillId="3" fontId="1" numFmtId="0" xfId="0" applyAlignment="1" applyBorder="1" applyFont="1">
      <alignment horizontal="right"/>
    </xf>
    <xf borderId="9" fillId="2" fontId="1" numFmtId="0" xfId="0" applyBorder="1" applyFont="1"/>
    <xf borderId="9" fillId="3" fontId="1" numFmtId="0" xfId="0" applyBorder="1" applyFont="1"/>
    <xf borderId="10" fillId="2" fontId="1" numFmtId="0" xfId="0" applyBorder="1" applyFont="1"/>
    <xf borderId="2" fillId="0" fontId="1" numFmtId="0" xfId="0" applyBorder="1" applyFont="1"/>
    <xf borderId="3" fillId="0" fontId="1" numFmtId="0" xfId="0" applyBorder="1" applyFont="1"/>
    <xf borderId="14" fillId="2" fontId="1" numFmtId="0" xfId="0" applyBorder="1" applyFont="1"/>
    <xf borderId="0" fillId="3" fontId="3" numFmtId="0" xfId="0" applyAlignment="1" applyFont="1">
      <alignment horizontal="center"/>
    </xf>
    <xf borderId="6" fillId="2" fontId="3" numFmtId="0" xfId="0" applyAlignment="1" applyBorder="1" applyFont="1">
      <alignment horizontal="center"/>
    </xf>
    <xf borderId="19" fillId="0" fontId="1" numFmtId="0" xfId="0" applyAlignment="1" applyBorder="1" applyFont="1">
      <alignment horizontal="right"/>
    </xf>
    <xf borderId="20" fillId="0" fontId="2" numFmtId="0" xfId="0" applyBorder="1" applyFont="1"/>
    <xf borderId="9" fillId="0" fontId="1" numFmtId="0" xfId="0" applyBorder="1" applyFont="1"/>
    <xf borderId="10" fillId="4" fontId="3" numFmtId="0" xfId="0" applyBorder="1" applyFont="1"/>
    <xf borderId="21" fillId="3" fontId="1" numFmtId="0" xfId="0" applyAlignment="1" applyBorder="1" applyFont="1">
      <alignment horizontal="right"/>
    </xf>
    <xf borderId="22" fillId="3" fontId="1" numFmtId="0" xfId="0" applyBorder="1" applyFont="1"/>
    <xf borderId="22" fillId="2" fontId="1" numFmtId="0" xfId="0" applyBorder="1" applyFont="1"/>
    <xf borderId="23" fillId="5" fontId="1" numFmtId="0" xfId="0" applyBorder="1" applyFill="1" applyFont="1"/>
    <xf borderId="13" fillId="0" fontId="1" numFmtId="0" xfId="0" applyBorder="1" applyFont="1"/>
    <xf borderId="14" fillId="0" fontId="1" numFmtId="0" xfId="0" applyBorder="1" applyFont="1"/>
    <xf borderId="15" fillId="2" fontId="3" numFmtId="0" xfId="0" applyAlignment="1" applyBorder="1" applyFont="1">
      <alignment horizontal="center"/>
    </xf>
    <xf borderId="0" fillId="0" fontId="1" numFmtId="0" xfId="0" applyAlignment="1" applyFont="1">
      <alignment horizontal="right"/>
    </xf>
    <xf borderId="24" fillId="0" fontId="1" numFmtId="0" xfId="0" applyBorder="1" applyFont="1"/>
    <xf borderId="25" fillId="0" fontId="1" numFmtId="0" xfId="0" applyBorder="1" applyFont="1"/>
    <xf borderId="25" fillId="3" fontId="1" numFmtId="0" xfId="0" applyBorder="1" applyFont="1"/>
    <xf borderId="26" fillId="2" fontId="3" numFmtId="0" xfId="0" applyAlignment="1" applyBorder="1" applyFont="1">
      <alignment horizontal="center"/>
    </xf>
    <xf borderId="1" fillId="0" fontId="3" numFmtId="0" xfId="0" applyBorder="1" applyFont="1"/>
    <xf borderId="13" fillId="0" fontId="1" numFmtId="0" xfId="0" applyAlignment="1" applyBorder="1" applyFont="1">
      <alignment readingOrder="0"/>
    </xf>
    <xf borderId="14" fillId="0" fontId="1" numFmtId="0" xfId="0" applyAlignment="1" applyBorder="1" applyFont="1">
      <alignment horizontal="center"/>
    </xf>
    <xf borderId="15" fillId="2" fontId="3" numFmtId="0" xfId="0" applyBorder="1" applyFont="1"/>
    <xf borderId="15" fillId="3" fontId="1" numFmtId="0" xfId="0" applyBorder="1" applyFont="1"/>
    <xf borderId="17" fillId="0" fontId="1" numFmtId="0" xfId="0" applyAlignment="1" applyBorder="1" applyFont="1">
      <alignment horizontal="center"/>
    </xf>
    <xf borderId="8" fillId="0" fontId="3" numFmtId="0" xfId="0" applyBorder="1" applyFont="1"/>
    <xf borderId="9" fillId="2" fontId="3" numFmtId="0" xfId="0" applyBorder="1" applyFont="1"/>
    <xf borderId="10" fillId="2" fontId="3" numFmtId="0" xfId="0" applyBorder="1" applyFont="1"/>
    <xf borderId="20" fillId="0" fontId="1" numFmtId="0" xfId="0" applyAlignment="1" applyBorder="1" applyFont="1">
      <alignment horizontal="center"/>
    </xf>
    <xf borderId="2" fillId="0" fontId="3" numFmtId="0" xfId="0" applyAlignment="1" applyBorder="1" applyFont="1">
      <alignment horizontal="center"/>
    </xf>
    <xf borderId="10" fillId="3" fontId="1" numFmtId="0" xfId="0" applyBorder="1" applyFont="1"/>
    <xf borderId="2" fillId="0" fontId="3" numFmtId="0" xfId="0" applyAlignment="1" applyBorder="1" applyFont="1">
      <alignment horizontal="left"/>
    </xf>
    <xf borderId="15" fillId="0" fontId="1" numFmtId="0" xfId="0" applyBorder="1" applyFont="1"/>
    <xf borderId="10" fillId="0" fontId="1" numFmtId="0" xfId="0" applyBorder="1" applyFont="1"/>
    <xf borderId="10" fillId="2" fontId="3" numFmtId="0" xfId="0" applyAlignment="1" applyBorder="1" applyFont="1">
      <alignment horizontal="center"/>
    </xf>
    <xf borderId="27" fillId="0" fontId="3" numFmtId="0" xfId="0" applyBorder="1" applyFont="1"/>
    <xf borderId="28" fillId="0" fontId="1" numFmtId="164" xfId="0" applyBorder="1" applyFont="1" applyNumberFormat="1"/>
    <xf borderId="0" fillId="0" fontId="1" numFmtId="0" xfId="0" applyAlignment="1" applyFont="1">
      <alignment readingOrder="0"/>
    </xf>
    <xf borderId="5" fillId="0" fontId="1" numFmtId="0" xfId="0" applyBorder="1" applyFont="1"/>
    <xf borderId="29" fillId="0" fontId="3" numFmtId="0" xfId="0" applyAlignment="1" applyBorder="1" applyFont="1">
      <alignment horizontal="center"/>
    </xf>
    <xf borderId="25" fillId="0" fontId="2" numFmtId="0" xfId="0" applyBorder="1" applyFont="1"/>
    <xf borderId="26" fillId="0" fontId="2" numFmtId="0" xfId="0" applyBorder="1" applyFont="1"/>
    <xf borderId="9" fillId="0" fontId="3" numFmtId="0" xfId="0" applyBorder="1" applyFont="1"/>
    <xf borderId="30" fillId="0" fontId="3" numFmtId="0" xfId="0" applyBorder="1" applyFont="1"/>
    <xf borderId="10" fillId="0" fontId="3" numFmtId="0" xfId="0" applyBorder="1" applyFont="1"/>
    <xf borderId="31" fillId="0" fontId="1" numFmtId="0" xfId="0" applyBorder="1" applyFont="1"/>
    <xf borderId="6" fillId="0" fontId="1" numFmtId="0" xfId="0" applyBorder="1" applyFont="1"/>
    <xf borderId="30" fillId="0" fontId="1" numFmtId="0" xfId="0" applyBorder="1" applyFont="1"/>
    <xf borderId="32" fillId="0" fontId="4" numFmtId="0" xfId="0" applyAlignment="1" applyBorder="1" applyFont="1">
      <alignment horizontal="center" vertical="bottom"/>
    </xf>
    <xf borderId="32" fillId="0" fontId="2" numFmtId="0" xfId="0" applyBorder="1" applyFont="1"/>
    <xf borderId="33" fillId="0" fontId="5" numFmtId="0" xfId="0" applyAlignment="1" applyBorder="1" applyFont="1">
      <alignment horizontal="center" vertical="top"/>
    </xf>
    <xf borderId="34" fillId="0" fontId="5" numFmtId="0" xfId="0" applyAlignment="1" applyBorder="1" applyFont="1">
      <alignment horizontal="center" vertical="top"/>
    </xf>
    <xf borderId="33" fillId="0" fontId="6" numFmtId="0" xfId="0" applyAlignment="1" applyBorder="1" applyFont="1">
      <alignment vertical="top"/>
    </xf>
    <xf borderId="34" fillId="0" fontId="6" numFmtId="0" xfId="0" applyAlignment="1" applyBorder="1" applyFont="1">
      <alignment vertical="top"/>
    </xf>
    <xf quotePrefix="1" borderId="34" fillId="0" fontId="6" numFmtId="0" xfId="0" applyAlignment="1" applyBorder="1" applyFont="1">
      <alignment horizontal="center" vertical="top"/>
    </xf>
    <xf borderId="34" fillId="0" fontId="6" numFmtId="0" xfId="0" applyAlignment="1" applyBorder="1" applyFont="1">
      <alignment horizontal="center" vertical="top"/>
    </xf>
    <xf borderId="0" fillId="0" fontId="7" numFmtId="0" xfId="0" applyAlignment="1" applyFont="1">
      <alignment readingOrder="0"/>
    </xf>
    <xf borderId="33" fillId="0" fontId="6" numFmtId="0" xfId="0" applyAlignment="1" applyBorder="1" applyFont="1">
      <alignment readingOrder="0" vertical="top"/>
    </xf>
    <xf borderId="34" fillId="0" fontId="6" numFmtId="0" xfId="0" applyAlignment="1" applyBorder="1" applyFont="1">
      <alignment readingOrder="0" vertical="top"/>
    </xf>
    <xf quotePrefix="1" borderId="0" fillId="0" fontId="7" numFmtId="0" xfId="0" applyAlignment="1" applyFont="1">
      <alignment readingOrder="0"/>
    </xf>
    <xf borderId="34" fillId="0" fontId="5" numFmtId="0" xfId="0" applyAlignment="1" applyBorder="1" applyFont="1">
      <alignment vertical="top"/>
    </xf>
    <xf borderId="34" fillId="0" fontId="6" numFmtId="0" xfId="0" applyAlignment="1" applyBorder="1" applyFont="1">
      <alignment horizontal="center" readingOrder="0" vertical="top"/>
    </xf>
    <xf borderId="0" fillId="0" fontId="8" numFmtId="0" xfId="0" applyAlignment="1" applyFont="1">
      <alignment readingOrder="0"/>
    </xf>
    <xf quotePrefix="1" borderId="0" fillId="0" fontId="9" numFmtId="0" xfId="0" applyAlignment="1" applyFont="1">
      <alignment shrinkToFit="0" vertical="bottom" wrapText="0"/>
    </xf>
    <xf borderId="0" fillId="0" fontId="10" numFmtId="0" xfId="0" applyAlignment="1" applyFont="1">
      <alignment vertical="bottom"/>
    </xf>
    <xf borderId="0" fillId="0" fontId="9" numFmtId="0" xfId="0" applyAlignment="1" applyFont="1">
      <alignment shrinkToFit="0" vertical="top" wrapText="0"/>
    </xf>
    <xf borderId="0" fillId="0" fontId="9" numFmtId="0" xfId="0" applyAlignment="1" applyFont="1">
      <alignment readingOrder="0"/>
    </xf>
    <xf borderId="0" fillId="0" fontId="9" numFmtId="0" xfId="0" applyAlignment="1" applyFont="1">
      <alignment vertical="top"/>
    </xf>
    <xf borderId="34" fillId="0" fontId="10" numFmtId="0" xfId="0" applyAlignment="1" applyBorder="1" applyFont="1">
      <alignment vertical="top"/>
    </xf>
    <xf borderId="33" fillId="0" fontId="6" numFmtId="0" xfId="0" applyAlignment="1" applyBorder="1" applyFont="1">
      <alignment horizontal="right" vertical="top"/>
    </xf>
    <xf borderId="34" fillId="0" fontId="6" numFmtId="9" xfId="0" applyAlignment="1" applyBorder="1" applyFont="1" applyNumberFormat="1">
      <alignment horizontal="center" vertical="top"/>
    </xf>
    <xf borderId="33" fillId="0" fontId="10" numFmtId="0" xfId="0" applyAlignment="1" applyBorder="1" applyFont="1">
      <alignment horizontal="right" vertical="top"/>
    </xf>
    <xf borderId="33" fillId="0" fontId="6" numFmtId="0" xfId="0" applyAlignment="1" applyBorder="1" applyFont="1">
      <alignment horizontal="right" vertical="bottom"/>
    </xf>
    <xf borderId="33" fillId="0" fontId="6" numFmtId="165" xfId="0" applyAlignment="1" applyBorder="1" applyFont="1" applyNumberFormat="1">
      <alignment horizontal="right" vertical="top"/>
    </xf>
    <xf borderId="0" fillId="0" fontId="4" numFmtId="0" xfId="0" applyAlignment="1" applyFont="1">
      <alignment horizontal="center" readingOrder="0"/>
    </xf>
    <xf borderId="35" fillId="0" fontId="11" numFmtId="0" xfId="0" applyAlignment="1" applyBorder="1" applyFont="1">
      <alignment horizontal="center" readingOrder="0"/>
    </xf>
    <xf borderId="35" fillId="0" fontId="7" numFmtId="0" xfId="0" applyAlignment="1" applyBorder="1" applyFont="1">
      <alignment readingOrder="0"/>
    </xf>
    <xf borderId="35" fillId="0" fontId="7" numFmtId="0" xfId="0" applyAlignment="1" applyBorder="1" applyFont="1">
      <alignment horizontal="center" readingOrder="0"/>
    </xf>
    <xf borderId="33" fillId="0" fontId="10" numFmtId="0" xfId="0" applyAlignment="1" applyBorder="1" applyFont="1">
      <alignment vertical="top"/>
    </xf>
    <xf borderId="34" fillId="0" fontId="6" numFmtId="0" xfId="0" applyAlignment="1" applyBorder="1" applyFont="1">
      <alignment horizontal="left" vertical="top"/>
    </xf>
    <xf borderId="32" fillId="0" fontId="4" numFmtId="0" xfId="0" applyAlignment="1" applyBorder="1" applyFont="1">
      <alignment horizontal="center" readingOrder="0" vertical="bottom"/>
    </xf>
    <xf borderId="34" fillId="0" fontId="10" numFmtId="0" xfId="0" applyAlignment="1" applyBorder="1" applyFont="1">
      <alignment horizontal="left" vertical="top"/>
    </xf>
    <xf borderId="33" fillId="0" fontId="5" numFmtId="0" xfId="0" applyAlignment="1" applyBorder="1" applyFont="1">
      <alignment horizontal="center" readingOrder="0" vertical="top"/>
    </xf>
    <xf borderId="34" fillId="0" fontId="5" numFmtId="0" xfId="0" applyAlignment="1" applyBorder="1" applyFont="1">
      <alignment horizontal="center" readingOrder="0" vertical="top"/>
    </xf>
    <xf borderId="34" fillId="0" fontId="6" numFmtId="165" xfId="0" applyAlignment="1" applyBorder="1" applyFont="1" applyNumberFormat="1">
      <alignment horizontal="left" vertical="top"/>
    </xf>
    <xf borderId="33" fillId="0" fontId="6" numFmtId="165" xfId="0" applyAlignment="1" applyBorder="1" applyFont="1" applyNumberFormat="1">
      <alignment horizontal="right" readingOrder="0" vertical="bottom"/>
    </xf>
    <xf borderId="33" fillId="0" fontId="6" numFmtId="165" xfId="0" applyAlignment="1" applyBorder="1" applyFont="1" applyNumberFormat="1">
      <alignment horizontal="right" readingOrder="0" vertical="top"/>
    </xf>
    <xf borderId="33" fillId="0" fontId="6" numFmtId="0" xfId="0" applyAlignment="1" applyBorder="1" applyFont="1">
      <alignment horizontal="right" readingOrder="0" vertical="top"/>
    </xf>
    <xf borderId="0" fillId="0" fontId="12" numFmtId="0" xfId="0" applyAlignment="1" applyFont="1">
      <alignment horizontal="center"/>
    </xf>
    <xf borderId="0" fillId="0" fontId="5" numFmtId="0" xfId="0" applyFont="1"/>
    <xf borderId="0" fillId="0" fontId="7" numFmtId="0" xfId="0" applyFont="1"/>
    <xf borderId="0" fillId="0" fontId="5" numFmtId="0" xfId="0" applyAlignment="1" applyFont="1">
      <alignment horizontal="center"/>
    </xf>
    <xf borderId="36" fillId="0" fontId="5" numFmtId="0" xfId="0" applyAlignment="1" applyBorder="1" applyFont="1">
      <alignment horizontal="center"/>
    </xf>
    <xf borderId="36" fillId="0" fontId="2" numFmtId="0" xfId="0" applyBorder="1" applyFont="1"/>
    <xf borderId="37" fillId="0" fontId="5" numFmtId="0" xfId="0" applyAlignment="1" applyBorder="1" applyFont="1">
      <alignment horizontal="center" shrinkToFit="0" vertical="center" wrapText="1"/>
    </xf>
    <xf borderId="0" fillId="0" fontId="6" numFmtId="0" xfId="0" applyAlignment="1" applyFont="1">
      <alignment horizontal="center" shrinkToFit="0" wrapText="1"/>
    </xf>
    <xf borderId="37" fillId="0" fontId="6" numFmtId="0" xfId="0" applyAlignment="1" applyBorder="1" applyFont="1">
      <alignment shrinkToFit="0" vertical="center" wrapText="1"/>
    </xf>
    <xf borderId="0" fillId="0" fontId="6" numFmtId="0" xfId="0" applyAlignment="1" applyFont="1">
      <alignment shrinkToFit="0" vertical="center" wrapText="1"/>
    </xf>
    <xf borderId="37" fillId="0" fontId="6" numFmtId="0" xfId="0" applyAlignment="1" applyBorder="1" applyFont="1">
      <alignment horizontal="center" shrinkToFit="0" vertical="center" wrapText="1"/>
    </xf>
    <xf borderId="36" fillId="0" fontId="5" numFmtId="0" xfId="0" applyAlignment="1" applyBorder="1" applyFont="1">
      <alignment horizontal="center" readingOrder="0"/>
    </xf>
    <xf borderId="37" fillId="0" fontId="5" numFmtId="0" xfId="0" applyAlignment="1" applyBorder="1" applyFont="1">
      <alignment horizontal="center" readingOrder="0" shrinkToFit="0" vertical="center" wrapText="1"/>
    </xf>
    <xf borderId="37" fillId="0" fontId="6" numFmtId="0" xfId="0" applyAlignment="1" applyBorder="1" applyFont="1">
      <alignment readingOrder="0" shrinkToFit="0" vertical="center" wrapText="1"/>
    </xf>
    <xf quotePrefix="1" borderId="37" fillId="0" fontId="6" numFmtId="0" xfId="0" applyAlignment="1" applyBorder="1" applyFont="1">
      <alignment readingOrder="0" shrinkToFit="0" vertical="center" wrapText="1"/>
    </xf>
    <xf borderId="0" fillId="0" fontId="13" numFmtId="0" xfId="0" applyAlignment="1" applyFont="1">
      <alignment horizontal="center" readingOrder="0"/>
    </xf>
    <xf borderId="0" fillId="0" fontId="14" numFmtId="0" xfId="0" applyAlignment="1" applyFont="1">
      <alignment horizontal="center" readingOrder="0"/>
    </xf>
    <xf borderId="0" fillId="0" fontId="15" numFmtId="0" xfId="0" applyFont="1"/>
    <xf borderId="0" fillId="0" fontId="6" numFmtId="0" xfId="0" applyAlignment="1" applyFont="1">
      <alignment horizontal="center" readingOrder="0"/>
    </xf>
    <xf borderId="0" fillId="0" fontId="9" numFmtId="0" xfId="0" applyAlignment="1" applyFont="1">
      <alignment horizontal="center" readingOrder="0"/>
    </xf>
    <xf borderId="0" fillId="0" fontId="14" numFmtId="0" xfId="0" applyAlignment="1" applyFont="1">
      <alignment readingOrder="0"/>
    </xf>
    <xf borderId="0" fillId="0" fontId="6" numFmtId="0" xfId="0" applyAlignment="1" applyFont="1">
      <alignment horizontal="center"/>
    </xf>
    <xf borderId="0" fillId="0" fontId="6" numFmtId="0" xfId="0" applyAlignment="1" applyFont="1">
      <alignment readingOrder="0"/>
    </xf>
    <xf borderId="0" fillId="0" fontId="15" numFmtId="0" xfId="0" applyAlignment="1" applyFont="1">
      <alignment horizontal="center"/>
    </xf>
    <xf borderId="0" fillId="0" fontId="16" numFmtId="0" xfId="0" applyAlignment="1" applyFont="1">
      <alignment horizontal="center" readingOrder="0"/>
    </xf>
    <xf borderId="35" fillId="0" fontId="17" numFmtId="0" xfId="0" applyAlignment="1" applyBorder="1" applyFont="1">
      <alignment horizontal="center" readingOrder="0"/>
    </xf>
    <xf borderId="35" fillId="0" fontId="17" numFmtId="0" xfId="0" applyAlignment="1" applyBorder="1" applyFont="1">
      <alignment readingOrder="0" shrinkToFit="0" wrapText="0"/>
    </xf>
    <xf borderId="35" fillId="0" fontId="18" numFmtId="0" xfId="0" applyAlignment="1" applyBorder="1" applyFont="1">
      <alignment readingOrder="0" shrinkToFit="0" wrapText="0"/>
    </xf>
    <xf borderId="35" fillId="0" fontId="18" numFmtId="0" xfId="0" applyAlignment="1" applyBorder="1" applyFont="1">
      <alignment horizontal="right" readingOrder="0" shrinkToFit="0" wrapText="0"/>
    </xf>
    <xf borderId="35" fillId="0" fontId="18" numFmtId="3" xfId="0" applyAlignment="1" applyBorder="1" applyFont="1" applyNumberFormat="1">
      <alignment horizontal="right" readingOrder="0" shrinkToFit="0" wrapText="0"/>
    </xf>
    <xf borderId="35" fillId="0" fontId="18" numFmtId="0" xfId="0" applyAlignment="1" applyBorder="1" applyFont="1">
      <alignment shrinkToFit="0" wrapText="0"/>
    </xf>
    <xf borderId="0" fillId="0" fontId="7" numFmtId="0" xfId="0" applyAlignment="1" applyFont="1">
      <alignment horizontal="center"/>
    </xf>
    <xf borderId="0" fillId="0" fontId="7" numFmtId="0" xfId="0" applyAlignment="1" applyFont="1">
      <alignment horizontal="center" readingOrder="0"/>
    </xf>
    <xf borderId="0" fillId="0" fontId="19" numFmtId="0" xfId="0" applyAlignment="1" applyFont="1">
      <alignment readingOrder="0"/>
    </xf>
    <xf borderId="0" fillId="0" fontId="6" numFmtId="0" xfId="0" applyFont="1"/>
    <xf borderId="0" fillId="0" fontId="6" numFmtId="49" xfId="0" applyAlignment="1" applyFont="1" applyNumberFormat="1">
      <alignment horizontal="right" readingOrder="0"/>
    </xf>
    <xf borderId="0" fillId="0" fontId="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304800</xdr:colOff>
      <xdr:row>3</xdr:row>
      <xdr:rowOff>104775</xdr:rowOff>
    </xdr:from>
    <xdr:ext cx="266700" cy="323850"/>
    <xdr:grpSp>
      <xdr:nvGrpSpPr>
        <xdr:cNvPr id="2" name="Shape 2"/>
        <xdr:cNvGrpSpPr/>
      </xdr:nvGrpSpPr>
      <xdr:grpSpPr>
        <a:xfrm>
          <a:off x="5217413" y="3622838"/>
          <a:ext cx="257175" cy="314325"/>
          <a:chOff x="5217413" y="3622838"/>
          <a:chExt cx="257175" cy="314325"/>
        </a:xfrm>
      </xdr:grpSpPr>
      <xdr:cxnSp>
        <xdr:nvCxnSpPr>
          <xdr:cNvPr id="3" name="Shape 3"/>
          <xdr:cNvCxnSpPr/>
        </xdr:nvCxnSpPr>
        <xdr:spPr>
          <a:xfrm flipH="1">
            <a:off x="5217413" y="3622838"/>
            <a:ext cx="257175" cy="314325"/>
          </a:xfrm>
          <a:prstGeom prst="bentConnector3">
            <a:avLst>
              <a:gd fmla="val -26852" name="adj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9</xdr:col>
      <xdr:colOff>514350</xdr:colOff>
      <xdr:row>5</xdr:row>
      <xdr:rowOff>76200</xdr:rowOff>
    </xdr:from>
    <xdr:ext cx="542925" cy="200025"/>
    <xdr:grpSp>
      <xdr:nvGrpSpPr>
        <xdr:cNvPr id="2" name="Shape 2"/>
        <xdr:cNvGrpSpPr/>
      </xdr:nvGrpSpPr>
      <xdr:grpSpPr>
        <a:xfrm>
          <a:off x="5079300" y="3684750"/>
          <a:ext cx="533400" cy="190500"/>
          <a:chOff x="5079300" y="3684750"/>
          <a:chExt cx="533400" cy="190500"/>
        </a:xfrm>
      </xdr:grpSpPr>
      <xdr:cxnSp>
        <xdr:nvCxnSpPr>
          <xdr:cNvPr id="4" name="Shape 4"/>
          <xdr:cNvCxnSpPr/>
        </xdr:nvCxnSpPr>
        <xdr:spPr>
          <a:xfrm flipH="1">
            <a:off x="5079300" y="3684750"/>
            <a:ext cx="533400" cy="190500"/>
          </a:xfrm>
          <a:prstGeom prst="bentConnector3">
            <a:avLst>
              <a:gd fmla="val 118333" name="adj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20</xdr:col>
      <xdr:colOff>304800</xdr:colOff>
      <xdr:row>6</xdr:row>
      <xdr:rowOff>114300</xdr:rowOff>
    </xdr:from>
    <xdr:ext cx="266700" cy="323850"/>
    <xdr:grpSp>
      <xdr:nvGrpSpPr>
        <xdr:cNvPr id="2" name="Shape 2"/>
        <xdr:cNvGrpSpPr/>
      </xdr:nvGrpSpPr>
      <xdr:grpSpPr>
        <a:xfrm>
          <a:off x="5217413" y="3622838"/>
          <a:ext cx="257175" cy="314325"/>
          <a:chOff x="5217413" y="3622838"/>
          <a:chExt cx="257175" cy="314325"/>
        </a:xfrm>
      </xdr:grpSpPr>
      <xdr:cxnSp>
        <xdr:nvCxnSpPr>
          <xdr:cNvPr id="3" name="Shape 3"/>
          <xdr:cNvCxnSpPr/>
        </xdr:nvCxnSpPr>
        <xdr:spPr>
          <a:xfrm flipH="1">
            <a:off x="5217413" y="3622838"/>
            <a:ext cx="257175" cy="314325"/>
          </a:xfrm>
          <a:prstGeom prst="bentConnector3">
            <a:avLst>
              <a:gd fmla="val -26852" name="adj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20</xdr:col>
      <xdr:colOff>104775</xdr:colOff>
      <xdr:row>10</xdr:row>
      <xdr:rowOff>47625</xdr:rowOff>
    </xdr:from>
    <xdr:ext cx="476250" cy="361950"/>
    <xdr:grpSp>
      <xdr:nvGrpSpPr>
        <xdr:cNvPr id="2" name="Shape 2"/>
        <xdr:cNvGrpSpPr/>
      </xdr:nvGrpSpPr>
      <xdr:grpSpPr>
        <a:xfrm>
          <a:off x="5112638" y="3603788"/>
          <a:ext cx="466725" cy="352425"/>
          <a:chOff x="5112638" y="3603788"/>
          <a:chExt cx="466725" cy="352425"/>
        </a:xfrm>
      </xdr:grpSpPr>
      <xdr:cxnSp>
        <xdr:nvCxnSpPr>
          <xdr:cNvPr id="5" name="Shape 5"/>
          <xdr:cNvCxnSpPr/>
        </xdr:nvCxnSpPr>
        <xdr:spPr>
          <a:xfrm flipH="1">
            <a:off x="5112638" y="3603788"/>
            <a:ext cx="466725" cy="352425"/>
          </a:xfrm>
          <a:prstGeom prst="bentConnector3">
            <a:avLst>
              <a:gd fmla="val -11538" name="adj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12</xdr:col>
      <xdr:colOff>342900</xdr:colOff>
      <xdr:row>5</xdr:row>
      <xdr:rowOff>57150</xdr:rowOff>
    </xdr:from>
    <xdr:ext cx="3400425" cy="38100"/>
    <xdr:grpSp>
      <xdr:nvGrpSpPr>
        <xdr:cNvPr id="2" name="Shape 2"/>
        <xdr:cNvGrpSpPr/>
      </xdr:nvGrpSpPr>
      <xdr:grpSpPr>
        <a:xfrm>
          <a:off x="3645788" y="3770475"/>
          <a:ext cx="3400425" cy="19050"/>
          <a:chOff x="3645788" y="3770475"/>
          <a:chExt cx="3400425" cy="19050"/>
        </a:xfrm>
      </xdr:grpSpPr>
      <xdr:cxnSp>
        <xdr:nvCxnSpPr>
          <xdr:cNvPr id="6" name="Shape 6"/>
          <xdr:cNvCxnSpPr/>
        </xdr:nvCxnSpPr>
        <xdr:spPr>
          <a:xfrm flipH="1">
            <a:off x="3645788" y="3770475"/>
            <a:ext cx="3400425" cy="1905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12</xdr:col>
      <xdr:colOff>361950</xdr:colOff>
      <xdr:row>8</xdr:row>
      <xdr:rowOff>85725</xdr:rowOff>
    </xdr:from>
    <xdr:ext cx="3524250" cy="38100"/>
    <xdr:grpSp>
      <xdr:nvGrpSpPr>
        <xdr:cNvPr id="2" name="Shape 2"/>
        <xdr:cNvGrpSpPr/>
      </xdr:nvGrpSpPr>
      <xdr:grpSpPr>
        <a:xfrm>
          <a:off x="3583875" y="3770475"/>
          <a:ext cx="3524250" cy="19050"/>
          <a:chOff x="3583875" y="3770475"/>
          <a:chExt cx="3524250" cy="19050"/>
        </a:xfrm>
      </xdr:grpSpPr>
      <xdr:cxnSp>
        <xdr:nvCxnSpPr>
          <xdr:cNvPr id="7" name="Shape 7"/>
          <xdr:cNvCxnSpPr/>
        </xdr:nvCxnSpPr>
        <xdr:spPr>
          <a:xfrm flipH="1">
            <a:off x="3583875" y="3770475"/>
            <a:ext cx="3524250" cy="1905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9</xdr:col>
      <xdr:colOff>523875</xdr:colOff>
      <xdr:row>8</xdr:row>
      <xdr:rowOff>104775</xdr:rowOff>
    </xdr:from>
    <xdr:ext cx="542925" cy="200025"/>
    <xdr:grpSp>
      <xdr:nvGrpSpPr>
        <xdr:cNvPr id="2" name="Shape 2"/>
        <xdr:cNvGrpSpPr/>
      </xdr:nvGrpSpPr>
      <xdr:grpSpPr>
        <a:xfrm>
          <a:off x="5079300" y="3684750"/>
          <a:ext cx="533400" cy="190500"/>
          <a:chOff x="5079300" y="3684750"/>
          <a:chExt cx="533400" cy="190500"/>
        </a:xfrm>
      </xdr:grpSpPr>
      <xdr:cxnSp>
        <xdr:nvCxnSpPr>
          <xdr:cNvPr id="4" name="Shape 4"/>
          <xdr:cNvCxnSpPr/>
        </xdr:nvCxnSpPr>
        <xdr:spPr>
          <a:xfrm flipH="1">
            <a:off x="5079300" y="3684750"/>
            <a:ext cx="533400" cy="190500"/>
          </a:xfrm>
          <a:prstGeom prst="bentConnector3">
            <a:avLst>
              <a:gd fmla="val 118333" name="adj1"/>
            </a:avLst>
          </a:prstGeom>
          <a:noFill/>
          <a:ln cap="flat" cmpd="sng" w="9525">
            <a:solidFill>
              <a:schemeClr val="accent1"/>
            </a:solidFill>
            <a:prstDash val="solid"/>
            <a:miter lim="800000"/>
            <a:headEnd len="sm" w="sm" type="none"/>
            <a:tailEnd len="med" w="med" type="triangle"/>
          </a:ln>
        </xdr:spPr>
      </xdr:cxn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1.38"/>
    <col customWidth="1" min="2" max="2" width="8.0"/>
    <col customWidth="1" min="3" max="3" width="9.63"/>
    <col customWidth="1" min="4" max="4" width="6.13"/>
    <col customWidth="1" min="5" max="5" width="8.63"/>
    <col customWidth="1" min="6" max="7" width="8.75"/>
    <col customWidth="1" min="8" max="8" width="7.38"/>
    <col customWidth="1" min="9" max="9" width="7.25"/>
    <col customWidth="1" min="10" max="10" width="6.88"/>
    <col customWidth="1" min="11" max="21" width="7.0"/>
    <col customWidth="1" min="22" max="26" width="7.88"/>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
      <c r="B2" s="2" t="s">
        <v>0</v>
      </c>
      <c r="C2" s="3"/>
      <c r="D2" s="3"/>
      <c r="E2" s="2" t="s">
        <v>1</v>
      </c>
      <c r="F2" s="4"/>
      <c r="G2" s="5" t="s">
        <v>2</v>
      </c>
      <c r="H2" s="5" t="s">
        <v>3</v>
      </c>
      <c r="I2" s="6"/>
      <c r="J2" s="1"/>
      <c r="K2" s="7" t="s">
        <v>4</v>
      </c>
      <c r="M2" s="1"/>
      <c r="N2" s="1"/>
      <c r="O2" s="1"/>
      <c r="P2" s="1"/>
      <c r="Q2" s="1"/>
      <c r="R2" s="1"/>
      <c r="S2" s="1"/>
      <c r="T2" s="1"/>
      <c r="U2" s="1"/>
      <c r="V2" s="1"/>
      <c r="W2" s="1"/>
      <c r="X2" s="1"/>
      <c r="Y2" s="1"/>
      <c r="Z2" s="1"/>
    </row>
    <row r="3" ht="12.75" customHeight="1">
      <c r="A3" s="1"/>
      <c r="B3" s="8"/>
      <c r="E3" s="8"/>
      <c r="F3" s="9"/>
      <c r="G3" s="10"/>
      <c r="H3" s="10"/>
      <c r="I3" s="6"/>
      <c r="J3" s="1"/>
      <c r="K3" s="1"/>
      <c r="L3" s="11" t="s">
        <v>5</v>
      </c>
      <c r="M3" s="11"/>
      <c r="N3" s="11" t="s">
        <v>6</v>
      </c>
      <c r="O3" s="11"/>
      <c r="P3" s="11"/>
      <c r="Q3" s="11" t="s">
        <v>7</v>
      </c>
      <c r="R3" s="11"/>
      <c r="S3" s="11"/>
      <c r="T3" s="11"/>
      <c r="U3" s="11" t="s">
        <v>8</v>
      </c>
      <c r="V3" s="1"/>
      <c r="W3" s="1"/>
      <c r="X3" s="1"/>
      <c r="Y3" s="1"/>
      <c r="Z3" s="1"/>
    </row>
    <row r="4" ht="12.75" customHeight="1">
      <c r="A4" s="1"/>
      <c r="B4" s="12"/>
      <c r="C4" s="13"/>
      <c r="D4" s="13"/>
      <c r="E4" s="12"/>
      <c r="F4" s="14"/>
      <c r="G4" s="15"/>
      <c r="H4" s="15"/>
      <c r="I4" s="6"/>
      <c r="J4" s="1"/>
      <c r="K4" s="16" t="s">
        <v>9</v>
      </c>
      <c r="L4" s="17" t="s">
        <v>10</v>
      </c>
      <c r="M4" s="18"/>
      <c r="N4" s="19" t="s">
        <v>11</v>
      </c>
      <c r="O4" s="18"/>
      <c r="P4" s="18"/>
      <c r="Q4" s="17" t="s">
        <v>12</v>
      </c>
      <c r="R4" s="20"/>
      <c r="S4" s="20"/>
      <c r="T4" s="20"/>
      <c r="U4" s="20"/>
      <c r="V4" s="1"/>
      <c r="W4" s="1"/>
      <c r="X4" s="1"/>
      <c r="Y4" s="1"/>
      <c r="Z4" s="1"/>
    </row>
    <row r="5" ht="12.75" customHeight="1">
      <c r="A5" s="1"/>
      <c r="B5" s="1"/>
      <c r="C5" s="1"/>
      <c r="D5" s="1"/>
      <c r="E5" s="1"/>
      <c r="F5" s="1"/>
      <c r="G5" s="1"/>
      <c r="H5" s="1"/>
      <c r="I5" s="1"/>
      <c r="J5" s="1"/>
      <c r="K5" s="21" t="s">
        <v>13</v>
      </c>
      <c r="L5" s="22" t="s">
        <v>14</v>
      </c>
      <c r="M5" s="15"/>
      <c r="N5" s="23" t="s">
        <v>15</v>
      </c>
      <c r="O5" s="15"/>
      <c r="P5" s="15"/>
      <c r="Q5" s="22" t="s">
        <v>16</v>
      </c>
      <c r="R5" s="15"/>
      <c r="S5" s="15"/>
      <c r="T5" s="15"/>
      <c r="U5" s="15"/>
      <c r="V5" s="1"/>
      <c r="W5" s="1"/>
      <c r="X5" s="1"/>
      <c r="Y5" s="1"/>
      <c r="Z5" s="1"/>
    </row>
    <row r="6" ht="12.75" customHeight="1">
      <c r="A6" s="1"/>
      <c r="B6" s="24" t="s">
        <v>17</v>
      </c>
      <c r="C6" s="3"/>
      <c r="D6" s="4"/>
      <c r="E6" s="2" t="s">
        <v>18</v>
      </c>
      <c r="F6" s="3"/>
      <c r="G6" s="3"/>
      <c r="H6" s="4"/>
      <c r="I6" s="6"/>
      <c r="J6" s="1"/>
      <c r="K6" s="25"/>
      <c r="L6" s="26"/>
      <c r="M6" s="26"/>
      <c r="N6" s="27"/>
      <c r="O6" s="26"/>
      <c r="P6" s="26"/>
      <c r="Q6" s="26"/>
      <c r="R6" s="25"/>
      <c r="S6" s="25"/>
      <c r="T6" s="25"/>
      <c r="U6" s="25"/>
      <c r="V6" s="1"/>
      <c r="W6" s="1"/>
      <c r="X6" s="1"/>
      <c r="Y6" s="1"/>
      <c r="Z6" s="1"/>
    </row>
    <row r="7" ht="12.75" customHeight="1">
      <c r="A7" s="1"/>
      <c r="B7" s="12"/>
      <c r="C7" s="13"/>
      <c r="D7" s="14"/>
      <c r="E7" s="12"/>
      <c r="F7" s="13"/>
      <c r="G7" s="13"/>
      <c r="H7" s="14"/>
      <c r="I7" s="6"/>
      <c r="J7" s="1"/>
      <c r="K7" s="16" t="s">
        <v>19</v>
      </c>
      <c r="L7" s="18" t="s">
        <v>10</v>
      </c>
      <c r="M7" s="18"/>
      <c r="N7" s="28" t="s">
        <v>11</v>
      </c>
      <c r="O7" s="18"/>
      <c r="P7" s="18"/>
      <c r="Q7" s="18" t="s">
        <v>12</v>
      </c>
      <c r="R7" s="20"/>
      <c r="S7" s="20"/>
      <c r="T7" s="20"/>
      <c r="U7" s="18" t="s">
        <v>20</v>
      </c>
      <c r="V7" s="1"/>
      <c r="W7" s="1"/>
      <c r="X7" s="1"/>
      <c r="Y7" s="1"/>
      <c r="Z7" s="1"/>
    </row>
    <row r="8" ht="12.75" customHeight="1">
      <c r="A8" s="1"/>
      <c r="B8" s="29"/>
      <c r="C8" s="29"/>
      <c r="D8" s="29"/>
      <c r="E8" s="6"/>
      <c r="F8" s="6"/>
      <c r="G8" s="6"/>
      <c r="H8" s="6"/>
      <c r="I8" s="6"/>
      <c r="J8" s="1"/>
      <c r="K8" s="21" t="s">
        <v>13</v>
      </c>
      <c r="L8" s="30" t="s">
        <v>14</v>
      </c>
      <c r="M8" s="15"/>
      <c r="N8" s="31" t="s">
        <v>15</v>
      </c>
      <c r="O8" s="15"/>
      <c r="P8" s="15"/>
      <c r="Q8" s="30" t="s">
        <v>16</v>
      </c>
      <c r="R8" s="15"/>
      <c r="S8" s="15"/>
      <c r="T8" s="15"/>
      <c r="U8" s="15"/>
      <c r="V8" s="1"/>
      <c r="W8" s="1"/>
      <c r="X8" s="1"/>
      <c r="Y8" s="1"/>
      <c r="Z8" s="1"/>
    </row>
    <row r="9" ht="14.25" customHeight="1">
      <c r="A9" s="1"/>
      <c r="B9" s="32" t="s">
        <v>21</v>
      </c>
      <c r="C9" s="3"/>
      <c r="D9" s="33"/>
      <c r="E9" s="33"/>
      <c r="F9" s="33"/>
      <c r="G9" s="33"/>
      <c r="H9" s="34"/>
      <c r="I9" s="35"/>
      <c r="J9" s="1"/>
      <c r="K9" s="25"/>
      <c r="L9" s="26"/>
      <c r="M9" s="26"/>
      <c r="N9" s="27"/>
      <c r="O9" s="26"/>
      <c r="P9" s="26"/>
      <c r="Q9" s="26"/>
      <c r="R9" s="25"/>
      <c r="S9" s="25"/>
      <c r="T9" s="25"/>
      <c r="U9" s="25"/>
      <c r="V9" s="1"/>
      <c r="W9" s="1"/>
      <c r="X9" s="1"/>
      <c r="Y9" s="1"/>
      <c r="Z9" s="1"/>
    </row>
    <row r="10" ht="12.75" customHeight="1">
      <c r="A10" s="1"/>
      <c r="B10" s="36" t="s">
        <v>0</v>
      </c>
      <c r="D10" s="11" t="s">
        <v>22</v>
      </c>
      <c r="E10" s="11" t="s">
        <v>23</v>
      </c>
      <c r="F10" s="11" t="s">
        <v>24</v>
      </c>
      <c r="G10" s="11" t="s">
        <v>25</v>
      </c>
      <c r="H10" s="37" t="s">
        <v>26</v>
      </c>
      <c r="I10" s="11"/>
      <c r="J10" s="1"/>
      <c r="K10" s="16" t="s">
        <v>27</v>
      </c>
      <c r="L10" s="18" t="s">
        <v>10</v>
      </c>
      <c r="M10" s="18"/>
      <c r="N10" s="28" t="s">
        <v>11</v>
      </c>
      <c r="O10" s="18"/>
      <c r="P10" s="18"/>
      <c r="Q10" s="18" t="s">
        <v>12</v>
      </c>
      <c r="R10" s="20"/>
      <c r="S10" s="20"/>
      <c r="T10" s="20"/>
      <c r="U10" s="18" t="s">
        <v>20</v>
      </c>
      <c r="V10" s="1"/>
      <c r="W10" s="1"/>
      <c r="X10" s="1"/>
      <c r="Y10" s="1"/>
      <c r="Z10" s="1"/>
    </row>
    <row r="11" ht="12.75" customHeight="1">
      <c r="A11" s="1"/>
      <c r="B11" s="38" t="s">
        <v>28</v>
      </c>
      <c r="C11" s="39"/>
      <c r="D11" s="40"/>
      <c r="E11" s="40"/>
      <c r="F11" s="40"/>
      <c r="G11" s="40"/>
      <c r="H11" s="41">
        <f t="shared" ref="H11:H19" si="1">SUM(D11:G11)</f>
        <v>0</v>
      </c>
      <c r="I11" s="35"/>
      <c r="J11" s="1"/>
      <c r="K11" s="21" t="s">
        <v>13</v>
      </c>
      <c r="L11" s="30" t="s">
        <v>14</v>
      </c>
      <c r="M11" s="15"/>
      <c r="N11" s="31" t="s">
        <v>15</v>
      </c>
      <c r="O11" s="15"/>
      <c r="P11" s="15"/>
      <c r="Q11" s="30" t="s">
        <v>16</v>
      </c>
      <c r="R11" s="15"/>
      <c r="S11" s="15"/>
      <c r="T11" s="15"/>
      <c r="U11" s="15"/>
      <c r="V11" s="1"/>
      <c r="W11" s="1"/>
      <c r="X11" s="1"/>
      <c r="Y11" s="1"/>
      <c r="Z11" s="1"/>
    </row>
    <row r="12" ht="12.75" customHeight="1">
      <c r="A12" s="1"/>
      <c r="B12" s="42" t="s">
        <v>29</v>
      </c>
      <c r="C12" s="43"/>
      <c r="D12" s="40"/>
      <c r="E12" s="40"/>
      <c r="F12" s="40"/>
      <c r="G12" s="40"/>
      <c r="H12" s="41">
        <f t="shared" si="1"/>
        <v>0</v>
      </c>
      <c r="I12" s="35"/>
      <c r="J12" s="1"/>
      <c r="K12" s="1"/>
      <c r="L12" s="1"/>
      <c r="M12" s="1"/>
      <c r="N12" s="1"/>
      <c r="O12" s="1"/>
      <c r="P12" s="1"/>
      <c r="Q12" s="1"/>
      <c r="R12" s="1"/>
      <c r="S12" s="1"/>
      <c r="T12" s="1"/>
      <c r="U12" s="1"/>
      <c r="V12" s="1"/>
      <c r="W12" s="1"/>
      <c r="X12" s="1"/>
      <c r="Y12" s="1"/>
      <c r="Z12" s="1"/>
    </row>
    <row r="13" ht="12.75" customHeight="1">
      <c r="A13" s="1"/>
      <c r="B13" s="42" t="s">
        <v>30</v>
      </c>
      <c r="C13" s="43"/>
      <c r="D13" s="40"/>
      <c r="E13" s="40"/>
      <c r="F13" s="40"/>
      <c r="G13" s="40"/>
      <c r="H13" s="41">
        <f t="shared" si="1"/>
        <v>0</v>
      </c>
      <c r="I13" s="32" t="s">
        <v>31</v>
      </c>
      <c r="J13" s="3"/>
      <c r="K13" s="33"/>
      <c r="L13" s="34"/>
      <c r="M13" s="1"/>
      <c r="N13" s="1"/>
      <c r="O13" s="1"/>
      <c r="P13" s="1"/>
      <c r="Q13" s="1" t="s">
        <v>32</v>
      </c>
      <c r="R13" s="1"/>
      <c r="S13" s="1"/>
      <c r="T13" s="44"/>
      <c r="U13" s="1"/>
      <c r="V13" s="1"/>
      <c r="W13" s="1"/>
      <c r="X13" s="1"/>
      <c r="Y13" s="1"/>
      <c r="Z13" s="1"/>
    </row>
    <row r="14" ht="12.75" customHeight="1">
      <c r="A14" s="1"/>
      <c r="B14" s="42" t="s">
        <v>33</v>
      </c>
      <c r="C14" s="43"/>
      <c r="D14" s="40"/>
      <c r="E14" s="40"/>
      <c r="F14" s="40"/>
      <c r="G14" s="40"/>
      <c r="H14" s="41">
        <f t="shared" si="1"/>
        <v>0</v>
      </c>
      <c r="I14" s="45"/>
      <c r="J14" s="11" t="s">
        <v>34</v>
      </c>
      <c r="K14" s="11" t="s">
        <v>25</v>
      </c>
      <c r="L14" s="37" t="s">
        <v>26</v>
      </c>
      <c r="M14" s="1"/>
      <c r="N14" s="1"/>
      <c r="O14" s="1"/>
      <c r="P14" s="1"/>
      <c r="Q14" s="1"/>
      <c r="R14" s="1"/>
      <c r="S14" s="1"/>
      <c r="T14" s="1"/>
      <c r="U14" s="1"/>
      <c r="V14" s="1"/>
      <c r="W14" s="1"/>
      <c r="X14" s="1"/>
      <c r="Y14" s="1"/>
      <c r="Z14" s="1"/>
    </row>
    <row r="15" ht="14.25" customHeight="1">
      <c r="A15" s="1"/>
      <c r="B15" s="42" t="s">
        <v>35</v>
      </c>
      <c r="C15" s="43"/>
      <c r="D15" s="40"/>
      <c r="E15" s="40"/>
      <c r="F15" s="40"/>
      <c r="G15" s="40"/>
      <c r="H15" s="41">
        <f t="shared" si="1"/>
        <v>0</v>
      </c>
      <c r="I15" s="36" t="s">
        <v>36</v>
      </c>
      <c r="J15" s="11" t="s">
        <v>37</v>
      </c>
      <c r="K15" s="11" t="s">
        <v>37</v>
      </c>
      <c r="L15" s="37" t="s">
        <v>37</v>
      </c>
      <c r="M15" s="32" t="s">
        <v>38</v>
      </c>
      <c r="N15" s="3"/>
      <c r="O15" s="33"/>
      <c r="P15" s="33"/>
      <c r="Q15" s="33"/>
      <c r="R15" s="33"/>
      <c r="S15" s="33"/>
      <c r="T15" s="33"/>
      <c r="U15" s="46"/>
      <c r="V15" s="1"/>
      <c r="W15" s="1"/>
      <c r="X15" s="1"/>
      <c r="Y15" s="1"/>
      <c r="Z15" s="1"/>
    </row>
    <row r="16" ht="12.75" customHeight="1">
      <c r="A16" s="1"/>
      <c r="B16" s="42" t="s">
        <v>39</v>
      </c>
      <c r="C16" s="43"/>
      <c r="D16" s="40"/>
      <c r="E16" s="40"/>
      <c r="F16" s="40"/>
      <c r="G16" s="40"/>
      <c r="H16" s="41">
        <f t="shared" si="1"/>
        <v>0</v>
      </c>
      <c r="I16" s="47"/>
      <c r="J16" s="48">
        <f>H18</f>
        <v>0</v>
      </c>
      <c r="K16" s="49"/>
      <c r="L16" s="50">
        <f>SUM(J16:K16)</f>
        <v>0</v>
      </c>
      <c r="M16" s="36" t="s">
        <v>0</v>
      </c>
      <c r="N16" s="11"/>
      <c r="O16" s="11"/>
      <c r="P16" s="11"/>
      <c r="Q16" s="11" t="s">
        <v>40</v>
      </c>
      <c r="R16" s="11" t="s">
        <v>22</v>
      </c>
      <c r="S16" s="11" t="s">
        <v>41</v>
      </c>
      <c r="T16" s="11"/>
      <c r="U16" s="37"/>
      <c r="V16" s="1"/>
      <c r="W16" s="1"/>
      <c r="X16" s="1"/>
      <c r="Y16" s="1"/>
      <c r="Z16" s="1"/>
    </row>
    <row r="17" ht="12.75" customHeight="1">
      <c r="A17" s="1"/>
      <c r="B17" s="42" t="s">
        <v>42</v>
      </c>
      <c r="C17" s="43"/>
      <c r="D17" s="40"/>
      <c r="E17" s="40"/>
      <c r="F17" s="40"/>
      <c r="G17" s="40"/>
      <c r="H17" s="41">
        <f t="shared" si="1"/>
        <v>0</v>
      </c>
      <c r="I17" s="32" t="s">
        <v>43</v>
      </c>
      <c r="J17" s="3"/>
      <c r="K17" s="51"/>
      <c r="L17" s="52"/>
      <c r="M17" s="36" t="s">
        <v>44</v>
      </c>
      <c r="N17" s="11"/>
      <c r="O17" s="11" t="s">
        <v>45</v>
      </c>
      <c r="P17" s="11"/>
      <c r="Q17" s="11" t="s">
        <v>46</v>
      </c>
      <c r="R17" s="11" t="s">
        <v>47</v>
      </c>
      <c r="S17" s="11" t="s">
        <v>48</v>
      </c>
      <c r="T17" s="11" t="s">
        <v>25</v>
      </c>
      <c r="U17" s="37" t="s">
        <v>26</v>
      </c>
      <c r="V17" s="1"/>
      <c r="W17" s="1"/>
      <c r="X17" s="1"/>
      <c r="Y17" s="1"/>
      <c r="Z17" s="1"/>
    </row>
    <row r="18" ht="12.75" customHeight="1">
      <c r="A18" s="1"/>
      <c r="B18" s="42" t="s">
        <v>49</v>
      </c>
      <c r="C18" s="43"/>
      <c r="D18" s="53">
        <f>ROUNDDOWN((H15+H12)/2,)</f>
        <v>0</v>
      </c>
      <c r="E18" s="40"/>
      <c r="F18" s="40"/>
      <c r="G18" s="40"/>
      <c r="H18" s="41">
        <f t="shared" si="1"/>
        <v>0</v>
      </c>
      <c r="I18" s="36" t="s">
        <v>50</v>
      </c>
      <c r="J18" s="11" t="s">
        <v>51</v>
      </c>
      <c r="K18" s="11" t="s">
        <v>26</v>
      </c>
      <c r="L18" s="37" t="s">
        <v>52</v>
      </c>
      <c r="M18" s="36"/>
      <c r="N18" s="11"/>
      <c r="O18" s="11"/>
      <c r="P18" s="11"/>
      <c r="Q18" s="11"/>
      <c r="R18" s="54"/>
      <c r="S18" s="54"/>
      <c r="T18" s="54"/>
      <c r="U18" s="55">
        <f t="shared" ref="U18:U53" si="2">SUM(R18:T18)</f>
        <v>0</v>
      </c>
      <c r="V18" s="1"/>
      <c r="W18" s="1"/>
      <c r="X18" s="1"/>
      <c r="Y18" s="1"/>
      <c r="Z18" s="1"/>
    </row>
    <row r="19" ht="12.75" customHeight="1">
      <c r="A19" s="1"/>
      <c r="B19" s="56" t="s">
        <v>53</v>
      </c>
      <c r="C19" s="57"/>
      <c r="D19" s="58"/>
      <c r="E19" s="58"/>
      <c r="F19" s="58"/>
      <c r="G19" s="58"/>
      <c r="H19" s="59">
        <f t="shared" si="1"/>
        <v>0</v>
      </c>
      <c r="I19" s="60"/>
      <c r="J19" s="61"/>
      <c r="K19" s="62">
        <f>SUM(I19:J19)</f>
        <v>0</v>
      </c>
      <c r="L19" s="63">
        <f>ROUNDDOWN((K19/10),)+1</f>
        <v>1</v>
      </c>
      <c r="M19" s="64"/>
      <c r="N19" s="65"/>
      <c r="O19" s="65"/>
      <c r="P19" s="65"/>
      <c r="Q19" s="65"/>
      <c r="R19" s="40"/>
      <c r="S19" s="40"/>
      <c r="T19" s="40"/>
      <c r="U19" s="66">
        <f t="shared" si="2"/>
        <v>0</v>
      </c>
      <c r="V19" s="1"/>
      <c r="W19" s="1"/>
      <c r="X19" s="1"/>
      <c r="Y19" s="1"/>
      <c r="Z19" s="1"/>
    </row>
    <row r="20" ht="12.75" customHeight="1">
      <c r="A20" s="1"/>
      <c r="B20" s="67"/>
      <c r="C20" s="67"/>
      <c r="D20" s="1"/>
      <c r="E20" s="1"/>
      <c r="F20" s="1"/>
      <c r="G20" s="1"/>
      <c r="H20" s="35"/>
      <c r="I20" s="1"/>
      <c r="J20" s="1"/>
      <c r="K20" s="1"/>
      <c r="L20" s="1"/>
      <c r="M20" s="68"/>
      <c r="N20" s="69"/>
      <c r="O20" s="69"/>
      <c r="P20" s="69"/>
      <c r="Q20" s="69"/>
      <c r="R20" s="70"/>
      <c r="S20" s="70"/>
      <c r="T20" s="70"/>
      <c r="U20" s="71">
        <f t="shared" si="2"/>
        <v>0</v>
      </c>
      <c r="V20" s="1"/>
      <c r="W20" s="1"/>
      <c r="X20" s="1"/>
      <c r="Y20" s="1"/>
      <c r="Z20" s="1"/>
    </row>
    <row r="21" ht="14.25" customHeight="1">
      <c r="A21" s="1"/>
      <c r="B21" s="32" t="s">
        <v>54</v>
      </c>
      <c r="C21" s="3"/>
      <c r="D21" s="51"/>
      <c r="E21" s="51"/>
      <c r="F21" s="51"/>
      <c r="G21" s="52"/>
      <c r="H21" s="72" t="s">
        <v>55</v>
      </c>
      <c r="I21" s="33"/>
      <c r="J21" s="33"/>
      <c r="K21" s="33"/>
      <c r="L21" s="34"/>
      <c r="M21" s="64"/>
      <c r="N21" s="65"/>
      <c r="O21" s="65"/>
      <c r="P21" s="65"/>
      <c r="Q21" s="65"/>
      <c r="R21" s="40"/>
      <c r="S21" s="40"/>
      <c r="T21" s="40"/>
      <c r="U21" s="66">
        <f t="shared" si="2"/>
        <v>0</v>
      </c>
      <c r="V21" s="1"/>
      <c r="W21" s="1"/>
      <c r="X21" s="1"/>
      <c r="Y21" s="1"/>
      <c r="Z21" s="1"/>
    </row>
    <row r="22" ht="12.75" customHeight="1">
      <c r="A22" s="1"/>
      <c r="B22" s="36"/>
      <c r="C22" s="11" t="s">
        <v>56</v>
      </c>
      <c r="E22" s="11" t="s">
        <v>22</v>
      </c>
      <c r="F22" s="11"/>
      <c r="G22" s="37"/>
      <c r="H22" s="36" t="s">
        <v>0</v>
      </c>
      <c r="I22" s="11" t="s">
        <v>57</v>
      </c>
      <c r="J22" s="11" t="s">
        <v>58</v>
      </c>
      <c r="K22" s="11" t="s">
        <v>59</v>
      </c>
      <c r="L22" s="37" t="s">
        <v>60</v>
      </c>
      <c r="M22" s="68"/>
      <c r="N22" s="69"/>
      <c r="O22" s="69"/>
      <c r="P22" s="69"/>
      <c r="Q22" s="69"/>
      <c r="R22" s="70"/>
      <c r="S22" s="70"/>
      <c r="T22" s="70"/>
      <c r="U22" s="71">
        <f t="shared" si="2"/>
        <v>0</v>
      </c>
      <c r="V22" s="1"/>
      <c r="W22" s="1"/>
      <c r="X22" s="1"/>
      <c r="Y22" s="1"/>
      <c r="Z22" s="1"/>
    </row>
    <row r="23" ht="12.75" customHeight="1">
      <c r="A23" s="1"/>
      <c r="B23" s="36" t="s">
        <v>0</v>
      </c>
      <c r="C23" s="11" t="s">
        <v>61</v>
      </c>
      <c r="E23" s="11" t="s">
        <v>47</v>
      </c>
      <c r="F23" s="11" t="s">
        <v>25</v>
      </c>
      <c r="G23" s="37" t="s">
        <v>26</v>
      </c>
      <c r="H23" s="36"/>
      <c r="I23" s="11" t="s">
        <v>62</v>
      </c>
      <c r="J23" s="11"/>
      <c r="K23" s="11"/>
      <c r="L23" s="37"/>
      <c r="M23" s="64"/>
      <c r="N23" s="65"/>
      <c r="O23" s="65"/>
      <c r="P23" s="65"/>
      <c r="Q23" s="65"/>
      <c r="R23" s="40"/>
      <c r="S23" s="40"/>
      <c r="T23" s="40"/>
      <c r="U23" s="66">
        <f t="shared" si="2"/>
        <v>0</v>
      </c>
      <c r="V23" s="1"/>
      <c r="W23" s="1"/>
      <c r="X23" s="1"/>
      <c r="Y23" s="1"/>
      <c r="Z23" s="1"/>
    </row>
    <row r="24" ht="12.75" customHeight="1">
      <c r="A24" s="1"/>
      <c r="B24" s="73" t="s">
        <v>63</v>
      </c>
      <c r="C24" s="74" t="s">
        <v>64</v>
      </c>
      <c r="D24" s="39"/>
      <c r="E24" s="53">
        <f>ROUNDDOWN((H14+H15+H16)/2,)</f>
        <v>0</v>
      </c>
      <c r="F24" s="40"/>
      <c r="G24" s="75">
        <f t="shared" ref="G24:G27" si="3">SUM(E24:F24)</f>
        <v>0</v>
      </c>
      <c r="H24" s="64"/>
      <c r="I24" s="40"/>
      <c r="J24" s="40"/>
      <c r="K24" s="40"/>
      <c r="L24" s="76"/>
      <c r="M24" s="68"/>
      <c r="N24" s="69"/>
      <c r="O24" s="69"/>
      <c r="P24" s="69"/>
      <c r="Q24" s="69"/>
      <c r="R24" s="70"/>
      <c r="S24" s="70"/>
      <c r="T24" s="70"/>
      <c r="U24" s="71">
        <f t="shared" si="2"/>
        <v>0</v>
      </c>
      <c r="V24" s="1"/>
      <c r="W24" s="1"/>
      <c r="X24" s="1"/>
      <c r="Y24" s="1"/>
      <c r="Z24" s="1"/>
    </row>
    <row r="25" ht="12.75" customHeight="1">
      <c r="A25" s="1"/>
      <c r="B25" s="73" t="s">
        <v>65</v>
      </c>
      <c r="C25" s="77" t="s">
        <v>66</v>
      </c>
      <c r="D25" s="43"/>
      <c r="E25" s="53">
        <f>ROUNDDOWN((H12+H15+H16)/2,)</f>
        <v>0</v>
      </c>
      <c r="F25" s="40"/>
      <c r="G25" s="75">
        <f t="shared" si="3"/>
        <v>0</v>
      </c>
      <c r="H25" s="64"/>
      <c r="I25" s="40"/>
      <c r="J25" s="40"/>
      <c r="K25" s="40"/>
      <c r="L25" s="76"/>
      <c r="M25" s="64"/>
      <c r="N25" s="65"/>
      <c r="O25" s="65"/>
      <c r="P25" s="65"/>
      <c r="Q25" s="65"/>
      <c r="R25" s="40"/>
      <c r="S25" s="40"/>
      <c r="T25" s="40"/>
      <c r="U25" s="66">
        <f t="shared" si="2"/>
        <v>0</v>
      </c>
      <c r="V25" s="1"/>
      <c r="W25" s="1"/>
      <c r="X25" s="1"/>
      <c r="Y25" s="1"/>
      <c r="Z25" s="1"/>
    </row>
    <row r="26" ht="14.25" customHeight="1">
      <c r="A26" s="1"/>
      <c r="B26" s="64" t="s">
        <v>67</v>
      </c>
      <c r="C26" s="77" t="s">
        <v>68</v>
      </c>
      <c r="D26" s="43"/>
      <c r="E26" s="53">
        <f>H18</f>
        <v>0</v>
      </c>
      <c r="F26" s="40"/>
      <c r="G26" s="75">
        <f t="shared" si="3"/>
        <v>0</v>
      </c>
      <c r="H26" s="78" t="s">
        <v>26</v>
      </c>
      <c r="I26" s="58"/>
      <c r="J26" s="79">
        <f t="shared" ref="J26:L26" si="4">SUM(J24:J25)</f>
        <v>0</v>
      </c>
      <c r="K26" s="79">
        <f t="shared" si="4"/>
        <v>0</v>
      </c>
      <c r="L26" s="80">
        <f t="shared" si="4"/>
        <v>0</v>
      </c>
      <c r="M26" s="68"/>
      <c r="N26" s="69"/>
      <c r="O26" s="69"/>
      <c r="P26" s="69"/>
      <c r="Q26" s="69"/>
      <c r="R26" s="70"/>
      <c r="S26" s="70"/>
      <c r="T26" s="70"/>
      <c r="U26" s="71">
        <f t="shared" si="2"/>
        <v>0</v>
      </c>
      <c r="V26" s="1"/>
      <c r="W26" s="1"/>
      <c r="X26" s="1"/>
      <c r="Y26" s="1"/>
      <c r="Z26" s="1"/>
    </row>
    <row r="27" ht="12.75" customHeight="1">
      <c r="A27" s="1"/>
      <c r="B27" s="21" t="s">
        <v>69</v>
      </c>
      <c r="C27" s="81" t="s">
        <v>70</v>
      </c>
      <c r="D27" s="57"/>
      <c r="E27" s="48">
        <f>ROUNDDOWN((H15+H16+H19)/3,)</f>
        <v>0</v>
      </c>
      <c r="F27" s="49"/>
      <c r="G27" s="80">
        <f t="shared" si="3"/>
        <v>0</v>
      </c>
      <c r="H27" s="16"/>
      <c r="I27" s="82" t="s">
        <v>71</v>
      </c>
      <c r="J27" s="51"/>
      <c r="K27" s="51"/>
      <c r="L27" s="52"/>
      <c r="M27" s="64"/>
      <c r="N27" s="65"/>
      <c r="O27" s="65"/>
      <c r="P27" s="65"/>
      <c r="Q27" s="65"/>
      <c r="R27" s="40"/>
      <c r="S27" s="40"/>
      <c r="T27" s="40"/>
      <c r="U27" s="66">
        <f t="shared" si="2"/>
        <v>0</v>
      </c>
      <c r="V27" s="1"/>
      <c r="W27" s="1"/>
      <c r="X27" s="1"/>
      <c r="Y27" s="1"/>
      <c r="Z27" s="1"/>
    </row>
    <row r="28" ht="12.75" customHeight="1">
      <c r="A28" s="1"/>
      <c r="B28" s="1"/>
      <c r="C28" s="1"/>
      <c r="D28" s="1"/>
      <c r="E28" s="1"/>
      <c r="F28" s="1"/>
      <c r="G28" s="1"/>
      <c r="H28" s="64"/>
      <c r="I28" s="40"/>
      <c r="J28" s="40"/>
      <c r="K28" s="40"/>
      <c r="L28" s="76"/>
      <c r="M28" s="68"/>
      <c r="N28" s="69"/>
      <c r="O28" s="69"/>
      <c r="P28" s="69"/>
      <c r="Q28" s="69"/>
      <c r="R28" s="70"/>
      <c r="S28" s="70"/>
      <c r="T28" s="70"/>
      <c r="U28" s="71">
        <f t="shared" si="2"/>
        <v>0</v>
      </c>
      <c r="V28" s="1"/>
      <c r="W28" s="1"/>
      <c r="X28" s="1"/>
      <c r="Y28" s="1"/>
      <c r="Z28" s="1"/>
    </row>
    <row r="29" ht="12.75" customHeight="1">
      <c r="A29" s="1"/>
      <c r="B29" s="1"/>
      <c r="C29" s="1"/>
      <c r="D29" s="1"/>
      <c r="E29" s="1"/>
      <c r="F29" s="1"/>
      <c r="G29" s="1"/>
      <c r="H29" s="64"/>
      <c r="I29" s="40"/>
      <c r="J29" s="40"/>
      <c r="K29" s="40"/>
      <c r="L29" s="76"/>
      <c r="M29" s="64"/>
      <c r="N29" s="65"/>
      <c r="O29" s="65"/>
      <c r="P29" s="65"/>
      <c r="Q29" s="65"/>
      <c r="R29" s="40"/>
      <c r="S29" s="40"/>
      <c r="T29" s="40"/>
      <c r="U29" s="66">
        <f t="shared" si="2"/>
        <v>0</v>
      </c>
      <c r="V29" s="1"/>
      <c r="W29" s="1"/>
      <c r="X29" s="1"/>
      <c r="Y29" s="1"/>
      <c r="Z29" s="1"/>
    </row>
    <row r="30" ht="12.75" customHeight="1">
      <c r="A30" s="1"/>
      <c r="B30" s="1"/>
      <c r="C30" s="1"/>
      <c r="D30" s="1"/>
      <c r="E30" s="1"/>
      <c r="F30" s="1"/>
      <c r="G30" s="1"/>
      <c r="H30" s="78" t="s">
        <v>26</v>
      </c>
      <c r="I30" s="58"/>
      <c r="J30" s="79">
        <f t="shared" ref="J30:L30" si="5">SUM(J28:J29)</f>
        <v>0</v>
      </c>
      <c r="K30" s="79">
        <f t="shared" si="5"/>
        <v>0</v>
      </c>
      <c r="L30" s="80">
        <f t="shared" si="5"/>
        <v>0</v>
      </c>
      <c r="M30" s="68"/>
      <c r="N30" s="69"/>
      <c r="O30" s="69"/>
      <c r="P30" s="69"/>
      <c r="Q30" s="69"/>
      <c r="R30" s="70"/>
      <c r="S30" s="70"/>
      <c r="T30" s="70"/>
      <c r="U30" s="71">
        <f t="shared" si="2"/>
        <v>0</v>
      </c>
      <c r="V30" s="1"/>
      <c r="W30" s="1"/>
      <c r="X30" s="1"/>
      <c r="Y30" s="1"/>
      <c r="Z30" s="1"/>
    </row>
    <row r="31" ht="12.75" customHeight="1">
      <c r="A31" s="1"/>
      <c r="B31" s="1"/>
      <c r="C31" s="1"/>
      <c r="D31" s="1"/>
      <c r="E31" s="1"/>
      <c r="F31" s="1"/>
      <c r="G31" s="1"/>
      <c r="H31" s="16"/>
      <c r="I31" s="82" t="s">
        <v>72</v>
      </c>
      <c r="J31" s="51"/>
      <c r="K31" s="51"/>
      <c r="L31" s="52"/>
      <c r="M31" s="64"/>
      <c r="N31" s="65"/>
      <c r="O31" s="65"/>
      <c r="P31" s="65"/>
      <c r="Q31" s="65"/>
      <c r="R31" s="40"/>
      <c r="S31" s="40"/>
      <c r="T31" s="40"/>
      <c r="U31" s="66">
        <f t="shared" si="2"/>
        <v>0</v>
      </c>
      <c r="V31" s="1"/>
      <c r="W31" s="1"/>
      <c r="X31" s="1"/>
      <c r="Y31" s="1"/>
      <c r="Z31" s="1"/>
    </row>
    <row r="32" ht="12.75" customHeight="1">
      <c r="A32" s="1"/>
      <c r="B32" s="1"/>
      <c r="C32" s="1"/>
      <c r="D32" s="1"/>
      <c r="E32" s="1"/>
      <c r="F32" s="1"/>
      <c r="G32" s="1"/>
      <c r="H32" s="78"/>
      <c r="I32" s="49"/>
      <c r="J32" s="49"/>
      <c r="K32" s="49"/>
      <c r="L32" s="83"/>
      <c r="M32" s="68"/>
      <c r="N32" s="69"/>
      <c r="O32" s="69"/>
      <c r="P32" s="69"/>
      <c r="Q32" s="69"/>
      <c r="R32" s="70"/>
      <c r="S32" s="70"/>
      <c r="T32" s="70"/>
      <c r="U32" s="71">
        <f t="shared" si="2"/>
        <v>0</v>
      </c>
      <c r="V32" s="1"/>
      <c r="W32" s="1"/>
      <c r="X32" s="1"/>
      <c r="Y32" s="1"/>
      <c r="Z32" s="1"/>
    </row>
    <row r="33" ht="12.75" customHeight="1">
      <c r="A33" s="1"/>
      <c r="B33" s="1"/>
      <c r="C33" s="1"/>
      <c r="D33" s="1"/>
      <c r="E33" s="1"/>
      <c r="F33" s="1"/>
      <c r="G33" s="1"/>
      <c r="H33" s="1"/>
      <c r="I33" s="1"/>
      <c r="J33" s="1"/>
      <c r="K33" s="1"/>
      <c r="L33" s="1"/>
      <c r="M33" s="64"/>
      <c r="N33" s="65"/>
      <c r="O33" s="65"/>
      <c r="P33" s="65"/>
      <c r="Q33" s="65"/>
      <c r="R33" s="40"/>
      <c r="S33" s="40"/>
      <c r="T33" s="40"/>
      <c r="U33" s="66">
        <f t="shared" si="2"/>
        <v>0</v>
      </c>
      <c r="V33" s="1"/>
      <c r="W33" s="1"/>
      <c r="X33" s="1"/>
      <c r="Y33" s="1"/>
      <c r="Z33" s="1"/>
    </row>
    <row r="34" ht="14.25" customHeight="1">
      <c r="A34" s="1"/>
      <c r="B34" s="32" t="s">
        <v>23</v>
      </c>
      <c r="C34" s="3"/>
      <c r="D34" s="33"/>
      <c r="E34" s="34"/>
      <c r="F34" s="32" t="s">
        <v>73</v>
      </c>
      <c r="G34" s="3"/>
      <c r="H34" s="84"/>
      <c r="I34" s="84"/>
      <c r="J34" s="84"/>
      <c r="K34" s="33"/>
      <c r="L34" s="34"/>
      <c r="M34" s="68"/>
      <c r="N34" s="69"/>
      <c r="O34" s="69"/>
      <c r="P34" s="69"/>
      <c r="Q34" s="69"/>
      <c r="R34" s="70"/>
      <c r="S34" s="70"/>
      <c r="T34" s="70"/>
      <c r="U34" s="71">
        <f t="shared" si="2"/>
        <v>0</v>
      </c>
      <c r="V34" s="1"/>
      <c r="W34" s="1"/>
      <c r="X34" s="1"/>
      <c r="Y34" s="1"/>
      <c r="Z34" s="1"/>
    </row>
    <row r="35" ht="12.75" customHeight="1">
      <c r="A35" s="1"/>
      <c r="B35" s="36"/>
      <c r="C35" s="11"/>
      <c r="D35" s="11"/>
      <c r="E35" s="37"/>
      <c r="F35" s="36"/>
      <c r="G35" s="11"/>
      <c r="H35" s="11"/>
      <c r="I35" s="11"/>
      <c r="J35" s="11"/>
      <c r="K35" s="11"/>
      <c r="L35" s="37"/>
      <c r="M35" s="64"/>
      <c r="N35" s="65"/>
      <c r="O35" s="65"/>
      <c r="P35" s="65"/>
      <c r="Q35" s="65"/>
      <c r="R35" s="40"/>
      <c r="S35" s="40"/>
      <c r="T35" s="40"/>
      <c r="U35" s="66">
        <f t="shared" si="2"/>
        <v>0</v>
      </c>
      <c r="V35" s="1"/>
      <c r="W35" s="1"/>
      <c r="X35" s="1"/>
      <c r="Y35" s="1"/>
      <c r="Z35" s="1"/>
    </row>
    <row r="36" ht="12.75" customHeight="1">
      <c r="A36" s="1"/>
      <c r="B36" s="36" t="s">
        <v>0</v>
      </c>
      <c r="C36" s="11"/>
      <c r="D36" s="11"/>
      <c r="E36" s="37" t="s">
        <v>47</v>
      </c>
      <c r="F36" s="36" t="s">
        <v>0</v>
      </c>
      <c r="G36" s="11"/>
      <c r="H36" s="11"/>
      <c r="I36" s="11"/>
      <c r="J36" s="11"/>
      <c r="K36" s="11" t="s">
        <v>74</v>
      </c>
      <c r="L36" s="37" t="s">
        <v>75</v>
      </c>
      <c r="M36" s="68"/>
      <c r="N36" s="69"/>
      <c r="O36" s="69"/>
      <c r="P36" s="69"/>
      <c r="Q36" s="69"/>
      <c r="R36" s="70"/>
      <c r="S36" s="70"/>
      <c r="T36" s="70"/>
      <c r="U36" s="71">
        <f t="shared" si="2"/>
        <v>0</v>
      </c>
      <c r="V36" s="1"/>
      <c r="W36" s="1"/>
      <c r="X36" s="1"/>
      <c r="Y36" s="1"/>
      <c r="Z36" s="1"/>
    </row>
    <row r="37" ht="12.75" customHeight="1">
      <c r="A37" s="1"/>
      <c r="B37" s="64"/>
      <c r="C37" s="65"/>
      <c r="D37" s="65"/>
      <c r="E37" s="85"/>
      <c r="F37" s="64"/>
      <c r="G37" s="65"/>
      <c r="H37" s="65"/>
      <c r="I37" s="65"/>
      <c r="J37" s="65"/>
      <c r="K37" s="65"/>
      <c r="L37" s="85"/>
      <c r="M37" s="64"/>
      <c r="N37" s="65"/>
      <c r="O37" s="65"/>
      <c r="P37" s="65"/>
      <c r="Q37" s="65"/>
      <c r="R37" s="40"/>
      <c r="S37" s="40"/>
      <c r="T37" s="40"/>
      <c r="U37" s="66">
        <f t="shared" si="2"/>
        <v>0</v>
      </c>
      <c r="V37" s="1"/>
      <c r="W37" s="1"/>
      <c r="X37" s="1"/>
      <c r="Y37" s="1"/>
      <c r="Z37" s="1"/>
    </row>
    <row r="38" ht="12.75" customHeight="1">
      <c r="A38" s="1"/>
      <c r="B38" s="64"/>
      <c r="C38" s="65"/>
      <c r="D38" s="65"/>
      <c r="E38" s="85"/>
      <c r="F38" s="64"/>
      <c r="G38" s="65"/>
      <c r="H38" s="65"/>
      <c r="I38" s="65"/>
      <c r="J38" s="65"/>
      <c r="K38" s="65"/>
      <c r="L38" s="85"/>
      <c r="M38" s="68"/>
      <c r="N38" s="69"/>
      <c r="O38" s="69"/>
      <c r="P38" s="69"/>
      <c r="Q38" s="69"/>
      <c r="R38" s="70"/>
      <c r="S38" s="70"/>
      <c r="T38" s="70"/>
      <c r="U38" s="71">
        <f t="shared" si="2"/>
        <v>0</v>
      </c>
      <c r="V38" s="1"/>
      <c r="W38" s="1"/>
      <c r="X38" s="1"/>
      <c r="Y38" s="1"/>
      <c r="Z38" s="1"/>
    </row>
    <row r="39" ht="12.75" customHeight="1">
      <c r="A39" s="1"/>
      <c r="B39" s="64"/>
      <c r="C39" s="65"/>
      <c r="D39" s="65"/>
      <c r="E39" s="85"/>
      <c r="F39" s="64"/>
      <c r="G39" s="65"/>
      <c r="H39" s="65"/>
      <c r="I39" s="65"/>
      <c r="J39" s="65"/>
      <c r="K39" s="65"/>
      <c r="L39" s="85"/>
      <c r="M39" s="64"/>
      <c r="N39" s="65"/>
      <c r="O39" s="65"/>
      <c r="P39" s="65"/>
      <c r="Q39" s="65"/>
      <c r="R39" s="40"/>
      <c r="S39" s="40"/>
      <c r="T39" s="40"/>
      <c r="U39" s="66">
        <f t="shared" si="2"/>
        <v>0</v>
      </c>
      <c r="V39" s="1"/>
      <c r="W39" s="1"/>
      <c r="X39" s="1"/>
      <c r="Y39" s="1"/>
      <c r="Z39" s="1"/>
    </row>
    <row r="40" ht="12.75" customHeight="1">
      <c r="A40" s="1"/>
      <c r="B40" s="64"/>
      <c r="C40" s="65"/>
      <c r="D40" s="65"/>
      <c r="E40" s="85"/>
      <c r="F40" s="64"/>
      <c r="G40" s="65"/>
      <c r="H40" s="65"/>
      <c r="I40" s="65"/>
      <c r="J40" s="65"/>
      <c r="K40" s="65"/>
      <c r="L40" s="85"/>
      <c r="M40" s="68"/>
      <c r="N40" s="69"/>
      <c r="O40" s="69"/>
      <c r="P40" s="69"/>
      <c r="Q40" s="69"/>
      <c r="R40" s="70"/>
      <c r="S40" s="70"/>
      <c r="T40" s="70"/>
      <c r="U40" s="71">
        <f t="shared" si="2"/>
        <v>0</v>
      </c>
      <c r="V40" s="1"/>
      <c r="W40" s="1"/>
      <c r="X40" s="1"/>
      <c r="Y40" s="1"/>
      <c r="Z40" s="1"/>
    </row>
    <row r="41" ht="12.75" customHeight="1">
      <c r="A41" s="1"/>
      <c r="B41" s="64"/>
      <c r="C41" s="65"/>
      <c r="D41" s="65"/>
      <c r="E41" s="85"/>
      <c r="F41" s="64"/>
      <c r="G41" s="65"/>
      <c r="H41" s="65"/>
      <c r="I41" s="65"/>
      <c r="J41" s="65"/>
      <c r="K41" s="65"/>
      <c r="L41" s="85"/>
      <c r="M41" s="64"/>
      <c r="N41" s="65"/>
      <c r="O41" s="65"/>
      <c r="P41" s="65"/>
      <c r="Q41" s="65"/>
      <c r="R41" s="40"/>
      <c r="S41" s="40"/>
      <c r="T41" s="40"/>
      <c r="U41" s="66">
        <f t="shared" si="2"/>
        <v>0</v>
      </c>
      <c r="V41" s="1"/>
      <c r="W41" s="1"/>
      <c r="X41" s="1"/>
      <c r="Y41" s="1"/>
      <c r="Z41" s="1"/>
    </row>
    <row r="42" ht="12.75" customHeight="1">
      <c r="A42" s="1"/>
      <c r="B42" s="64"/>
      <c r="C42" s="65"/>
      <c r="D42" s="65"/>
      <c r="E42" s="85"/>
      <c r="F42" s="64"/>
      <c r="G42" s="65"/>
      <c r="H42" s="65"/>
      <c r="I42" s="65"/>
      <c r="J42" s="65"/>
      <c r="K42" s="65"/>
      <c r="L42" s="85"/>
      <c r="M42" s="68"/>
      <c r="N42" s="69"/>
      <c r="O42" s="69"/>
      <c r="P42" s="69"/>
      <c r="Q42" s="69"/>
      <c r="R42" s="70"/>
      <c r="S42" s="70"/>
      <c r="T42" s="70"/>
      <c r="U42" s="71">
        <f t="shared" si="2"/>
        <v>0</v>
      </c>
      <c r="V42" s="1"/>
      <c r="W42" s="1"/>
      <c r="X42" s="1"/>
      <c r="Y42" s="1"/>
      <c r="Z42" s="1"/>
    </row>
    <row r="43" ht="12.75" customHeight="1">
      <c r="A43" s="1"/>
      <c r="B43" s="64"/>
      <c r="C43" s="65"/>
      <c r="D43" s="65"/>
      <c r="E43" s="85"/>
      <c r="F43" s="64"/>
      <c r="G43" s="65"/>
      <c r="H43" s="65"/>
      <c r="I43" s="65"/>
      <c r="J43" s="65"/>
      <c r="K43" s="65"/>
      <c r="L43" s="85"/>
      <c r="M43" s="64"/>
      <c r="N43" s="65"/>
      <c r="O43" s="65"/>
      <c r="P43" s="65"/>
      <c r="Q43" s="65"/>
      <c r="R43" s="40"/>
      <c r="S43" s="40"/>
      <c r="T43" s="40"/>
      <c r="U43" s="66">
        <f t="shared" si="2"/>
        <v>0</v>
      </c>
      <c r="V43" s="1"/>
      <c r="W43" s="1"/>
      <c r="X43" s="1"/>
      <c r="Y43" s="1"/>
      <c r="Z43" s="1"/>
    </row>
    <row r="44" ht="12.75" customHeight="1">
      <c r="A44" s="1"/>
      <c r="B44" s="64"/>
      <c r="C44" s="65"/>
      <c r="D44" s="65"/>
      <c r="E44" s="85"/>
      <c r="F44" s="64"/>
      <c r="G44" s="65"/>
      <c r="H44" s="65"/>
      <c r="I44" s="65"/>
      <c r="J44" s="65"/>
      <c r="K44" s="65"/>
      <c r="L44" s="85"/>
      <c r="M44" s="68"/>
      <c r="N44" s="69"/>
      <c r="O44" s="69"/>
      <c r="P44" s="69"/>
      <c r="Q44" s="69"/>
      <c r="R44" s="70"/>
      <c r="S44" s="70"/>
      <c r="T44" s="70"/>
      <c r="U44" s="71">
        <f t="shared" si="2"/>
        <v>0</v>
      </c>
      <c r="V44" s="1"/>
      <c r="W44" s="1"/>
      <c r="X44" s="1"/>
      <c r="Y44" s="1"/>
      <c r="Z44" s="1"/>
    </row>
    <row r="45" ht="12.75" customHeight="1">
      <c r="A45" s="1"/>
      <c r="B45" s="64"/>
      <c r="C45" s="65"/>
      <c r="D45" s="65"/>
      <c r="E45" s="85"/>
      <c r="F45" s="64"/>
      <c r="G45" s="65"/>
      <c r="H45" s="65"/>
      <c r="I45" s="65"/>
      <c r="J45" s="65"/>
      <c r="K45" s="65"/>
      <c r="L45" s="85"/>
      <c r="M45" s="64"/>
      <c r="N45" s="65"/>
      <c r="O45" s="65"/>
      <c r="P45" s="65"/>
      <c r="Q45" s="65"/>
      <c r="R45" s="40"/>
      <c r="S45" s="40"/>
      <c r="T45" s="40"/>
      <c r="U45" s="66">
        <f t="shared" si="2"/>
        <v>0</v>
      </c>
      <c r="V45" s="1"/>
      <c r="W45" s="1"/>
      <c r="X45" s="1"/>
      <c r="Y45" s="1"/>
      <c r="Z45" s="1"/>
    </row>
    <row r="46" ht="12.75" customHeight="1">
      <c r="A46" s="1"/>
      <c r="B46" s="64"/>
      <c r="C46" s="65"/>
      <c r="D46" s="65"/>
      <c r="E46" s="85"/>
      <c r="F46" s="64"/>
      <c r="G46" s="65"/>
      <c r="H46" s="65"/>
      <c r="I46" s="65"/>
      <c r="J46" s="65"/>
      <c r="K46" s="65"/>
      <c r="L46" s="85"/>
      <c r="M46" s="68"/>
      <c r="N46" s="69"/>
      <c r="O46" s="69"/>
      <c r="P46" s="69"/>
      <c r="Q46" s="69"/>
      <c r="R46" s="70"/>
      <c r="S46" s="70"/>
      <c r="T46" s="70"/>
      <c r="U46" s="71">
        <f t="shared" si="2"/>
        <v>0</v>
      </c>
      <c r="V46" s="1"/>
      <c r="W46" s="1"/>
      <c r="X46" s="1"/>
      <c r="Y46" s="1"/>
      <c r="Z46" s="1"/>
    </row>
    <row r="47" ht="12.75" customHeight="1">
      <c r="A47" s="1"/>
      <c r="B47" s="64"/>
      <c r="C47" s="65"/>
      <c r="D47" s="65"/>
      <c r="E47" s="85"/>
      <c r="F47" s="64"/>
      <c r="G47" s="65"/>
      <c r="H47" s="65"/>
      <c r="I47" s="65"/>
      <c r="J47" s="65"/>
      <c r="K47" s="65"/>
      <c r="L47" s="85"/>
      <c r="M47" s="64"/>
      <c r="N47" s="65"/>
      <c r="O47" s="65"/>
      <c r="P47" s="65"/>
      <c r="Q47" s="65"/>
      <c r="R47" s="40"/>
      <c r="S47" s="40"/>
      <c r="T47" s="40"/>
      <c r="U47" s="66">
        <f t="shared" si="2"/>
        <v>0</v>
      </c>
      <c r="V47" s="1"/>
      <c r="W47" s="1"/>
      <c r="X47" s="1"/>
      <c r="Y47" s="1"/>
      <c r="Z47" s="1"/>
    </row>
    <row r="48" ht="12.75" customHeight="1">
      <c r="A48" s="1"/>
      <c r="B48" s="64"/>
      <c r="C48" s="65"/>
      <c r="D48" s="65"/>
      <c r="E48" s="85"/>
      <c r="F48" s="64"/>
      <c r="G48" s="65"/>
      <c r="H48" s="65"/>
      <c r="I48" s="65"/>
      <c r="J48" s="65"/>
      <c r="K48" s="65"/>
      <c r="L48" s="85"/>
      <c r="M48" s="68"/>
      <c r="N48" s="69"/>
      <c r="O48" s="69"/>
      <c r="P48" s="69"/>
      <c r="Q48" s="69"/>
      <c r="R48" s="70"/>
      <c r="S48" s="70"/>
      <c r="T48" s="70"/>
      <c r="U48" s="71">
        <f t="shared" si="2"/>
        <v>0</v>
      </c>
      <c r="V48" s="1"/>
      <c r="W48" s="1"/>
      <c r="X48" s="1"/>
      <c r="Y48" s="1"/>
      <c r="Z48" s="1"/>
    </row>
    <row r="49" ht="12.75" customHeight="1">
      <c r="A49" s="1"/>
      <c r="B49" s="64"/>
      <c r="C49" s="65"/>
      <c r="D49" s="65"/>
      <c r="E49" s="85"/>
      <c r="F49" s="64"/>
      <c r="G49" s="65"/>
      <c r="H49" s="65"/>
      <c r="I49" s="65"/>
      <c r="J49" s="65"/>
      <c r="K49" s="65"/>
      <c r="L49" s="85"/>
      <c r="M49" s="64"/>
      <c r="N49" s="65"/>
      <c r="O49" s="65"/>
      <c r="P49" s="65"/>
      <c r="Q49" s="65"/>
      <c r="R49" s="40"/>
      <c r="S49" s="40"/>
      <c r="T49" s="40"/>
      <c r="U49" s="66">
        <f t="shared" si="2"/>
        <v>0</v>
      </c>
      <c r="V49" s="1"/>
      <c r="W49" s="1"/>
      <c r="X49" s="1"/>
      <c r="Y49" s="1"/>
      <c r="Z49" s="1"/>
    </row>
    <row r="50" ht="12.75" customHeight="1">
      <c r="A50" s="1"/>
      <c r="B50" s="64"/>
      <c r="C50" s="65"/>
      <c r="D50" s="65"/>
      <c r="E50" s="85"/>
      <c r="F50" s="64"/>
      <c r="G50" s="65"/>
      <c r="H50" s="65"/>
      <c r="I50" s="65"/>
      <c r="J50" s="65"/>
      <c r="K50" s="65"/>
      <c r="L50" s="85"/>
      <c r="M50" s="68"/>
      <c r="N50" s="69"/>
      <c r="O50" s="69"/>
      <c r="P50" s="69"/>
      <c r="Q50" s="69"/>
      <c r="R50" s="70"/>
      <c r="S50" s="70"/>
      <c r="T50" s="70"/>
      <c r="U50" s="71">
        <f t="shared" si="2"/>
        <v>0</v>
      </c>
      <c r="V50" s="1"/>
      <c r="W50" s="1"/>
      <c r="X50" s="1"/>
      <c r="Y50" s="1"/>
      <c r="Z50" s="1"/>
    </row>
    <row r="51" ht="12.75" customHeight="1">
      <c r="A51" s="1"/>
      <c r="B51" s="64"/>
      <c r="C51" s="65"/>
      <c r="D51" s="65"/>
      <c r="E51" s="85"/>
      <c r="F51" s="64"/>
      <c r="G51" s="65"/>
      <c r="H51" s="65"/>
      <c r="I51" s="65"/>
      <c r="J51" s="65"/>
      <c r="K51" s="65"/>
      <c r="L51" s="85"/>
      <c r="M51" s="64"/>
      <c r="N51" s="65"/>
      <c r="O51" s="65"/>
      <c r="P51" s="65"/>
      <c r="Q51" s="65"/>
      <c r="R51" s="40"/>
      <c r="S51" s="40"/>
      <c r="T51" s="40"/>
      <c r="U51" s="66">
        <f t="shared" si="2"/>
        <v>0</v>
      </c>
      <c r="V51" s="1"/>
      <c r="W51" s="1"/>
      <c r="X51" s="1"/>
      <c r="Y51" s="1"/>
      <c r="Z51" s="1"/>
    </row>
    <row r="52" ht="12.75" customHeight="1">
      <c r="A52" s="1"/>
      <c r="B52" s="64"/>
      <c r="C52" s="65"/>
      <c r="D52" s="65"/>
      <c r="E52" s="85"/>
      <c r="F52" s="64"/>
      <c r="G52" s="65"/>
      <c r="H52" s="65"/>
      <c r="I52" s="65"/>
      <c r="J52" s="65"/>
      <c r="K52" s="65"/>
      <c r="L52" s="85"/>
      <c r="M52" s="68"/>
      <c r="N52" s="69"/>
      <c r="O52" s="69"/>
      <c r="P52" s="69"/>
      <c r="Q52" s="69"/>
      <c r="R52" s="70"/>
      <c r="S52" s="70"/>
      <c r="T52" s="70"/>
      <c r="U52" s="71">
        <f t="shared" si="2"/>
        <v>0</v>
      </c>
      <c r="V52" s="1"/>
      <c r="W52" s="1"/>
      <c r="X52" s="1"/>
      <c r="Y52" s="1"/>
      <c r="Z52" s="1"/>
    </row>
    <row r="53" ht="12.75" customHeight="1">
      <c r="A53" s="1"/>
      <c r="B53" s="21"/>
      <c r="C53" s="58"/>
      <c r="D53" s="58"/>
      <c r="E53" s="86"/>
      <c r="F53" s="21"/>
      <c r="G53" s="58"/>
      <c r="H53" s="58"/>
      <c r="I53" s="58"/>
      <c r="J53" s="58"/>
      <c r="K53" s="58"/>
      <c r="L53" s="86"/>
      <c r="M53" s="21"/>
      <c r="N53" s="58"/>
      <c r="O53" s="58"/>
      <c r="P53" s="58"/>
      <c r="Q53" s="58"/>
      <c r="R53" s="49"/>
      <c r="S53" s="49"/>
      <c r="T53" s="49"/>
      <c r="U53" s="87">
        <f t="shared" si="2"/>
        <v>0</v>
      </c>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1">
    <mergeCell ref="C23:D23"/>
    <mergeCell ref="C24:D24"/>
    <mergeCell ref="C25:D25"/>
    <mergeCell ref="C26:D26"/>
    <mergeCell ref="C27:D27"/>
    <mergeCell ref="B34:C34"/>
    <mergeCell ref="F34:G34"/>
    <mergeCell ref="B16:C16"/>
    <mergeCell ref="B17:C17"/>
    <mergeCell ref="I17:J17"/>
    <mergeCell ref="B18:C18"/>
    <mergeCell ref="B19:C19"/>
    <mergeCell ref="B21:C21"/>
    <mergeCell ref="C22:D22"/>
    <mergeCell ref="P4:P5"/>
    <mergeCell ref="R4:R5"/>
    <mergeCell ref="S4:S5"/>
    <mergeCell ref="T4:T5"/>
    <mergeCell ref="U4:U5"/>
    <mergeCell ref="B2:D4"/>
    <mergeCell ref="E2:F4"/>
    <mergeCell ref="G2:G4"/>
    <mergeCell ref="H2:H4"/>
    <mergeCell ref="K2:L2"/>
    <mergeCell ref="M4:M5"/>
    <mergeCell ref="O4:O5"/>
    <mergeCell ref="T7:T8"/>
    <mergeCell ref="U7:U8"/>
    <mergeCell ref="B6:D7"/>
    <mergeCell ref="E6:H7"/>
    <mergeCell ref="M7:M8"/>
    <mergeCell ref="O7:O8"/>
    <mergeCell ref="P7:P8"/>
    <mergeCell ref="R7:R8"/>
    <mergeCell ref="S7:S8"/>
    <mergeCell ref="T10:T11"/>
    <mergeCell ref="U10:U11"/>
    <mergeCell ref="B9:C9"/>
    <mergeCell ref="B10:C10"/>
    <mergeCell ref="M10:M11"/>
    <mergeCell ref="O10:O11"/>
    <mergeCell ref="P10:P11"/>
    <mergeCell ref="R10:R11"/>
    <mergeCell ref="S10:S11"/>
    <mergeCell ref="B11:C11"/>
    <mergeCell ref="B12:C12"/>
    <mergeCell ref="B13:C13"/>
    <mergeCell ref="I13:J13"/>
    <mergeCell ref="B14:C14"/>
    <mergeCell ref="B15:C15"/>
    <mergeCell ref="M15:N1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7.88"/>
    <col customWidth="1" min="6" max="6" width="9.5"/>
    <col customWidth="1" min="7" max="26" width="7.88"/>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
      <c r="B2" s="1"/>
      <c r="C2" s="1"/>
      <c r="D2" s="1"/>
      <c r="E2" s="1"/>
      <c r="F2" s="1"/>
      <c r="G2" s="1"/>
      <c r="H2" s="1"/>
      <c r="I2" s="1"/>
      <c r="J2" s="88" t="s">
        <v>76</v>
      </c>
      <c r="K2" s="89">
        <f>SUM(K7:K22,K25:K43)</f>
        <v>0</v>
      </c>
      <c r="L2" s="1"/>
      <c r="M2" s="1"/>
      <c r="N2" s="1"/>
      <c r="O2" s="1"/>
      <c r="P2" s="1"/>
      <c r="Q2" s="1"/>
      <c r="R2" s="1"/>
      <c r="S2" s="1"/>
      <c r="T2" s="1"/>
      <c r="U2" s="1"/>
      <c r="V2" s="1"/>
      <c r="W2" s="1"/>
      <c r="X2" s="1"/>
      <c r="Y2" s="1"/>
      <c r="Z2" s="1"/>
    </row>
    <row r="3" ht="12.75" customHeight="1">
      <c r="A3" s="1"/>
      <c r="B3" s="1"/>
      <c r="C3" s="1"/>
      <c r="D3" s="1"/>
      <c r="E3" s="1"/>
      <c r="F3" s="1"/>
      <c r="G3" s="1"/>
      <c r="H3" s="1"/>
      <c r="I3" s="1"/>
      <c r="J3" s="1"/>
      <c r="K3" s="1"/>
      <c r="L3" s="1"/>
      <c r="M3" s="1"/>
      <c r="N3" s="1"/>
      <c r="O3" s="1"/>
      <c r="P3" s="1"/>
      <c r="Q3" s="1"/>
      <c r="R3" s="1"/>
      <c r="S3" s="1"/>
      <c r="T3" s="1"/>
      <c r="U3" s="1"/>
      <c r="V3" s="1"/>
      <c r="W3" s="1"/>
      <c r="X3" s="1"/>
      <c r="Y3" s="1"/>
      <c r="Z3" s="1"/>
    </row>
    <row r="4" ht="12.75" customHeight="1">
      <c r="A4" s="72" t="s">
        <v>77</v>
      </c>
      <c r="B4" s="33"/>
      <c r="C4" s="33"/>
      <c r="D4" s="33"/>
      <c r="E4" s="33"/>
      <c r="F4" s="33"/>
      <c r="G4" s="33"/>
      <c r="H4" s="33"/>
      <c r="I4" s="33"/>
      <c r="J4" s="33"/>
      <c r="K4" s="33"/>
      <c r="L4" s="33"/>
      <c r="M4" s="33"/>
      <c r="N4" s="33"/>
      <c r="O4" s="34"/>
      <c r="P4" s="1"/>
      <c r="Q4" s="1"/>
      <c r="R4" s="1"/>
      <c r="S4" s="90" t="s">
        <v>78</v>
      </c>
      <c r="T4" s="1"/>
      <c r="U4" s="1"/>
      <c r="V4" s="1"/>
      <c r="W4" s="1"/>
      <c r="X4" s="1"/>
      <c r="Y4" s="1"/>
      <c r="Z4" s="1"/>
    </row>
    <row r="5" ht="12.75" customHeight="1">
      <c r="A5" s="91"/>
      <c r="B5" s="1"/>
      <c r="C5" s="1"/>
      <c r="D5" s="1"/>
      <c r="E5" s="1"/>
      <c r="F5" s="1"/>
      <c r="G5" s="1"/>
      <c r="H5" s="1"/>
      <c r="I5" s="1"/>
      <c r="J5" s="1"/>
      <c r="K5" s="1"/>
      <c r="L5" s="92" t="s">
        <v>79</v>
      </c>
      <c r="M5" s="93"/>
      <c r="N5" s="93"/>
      <c r="O5" s="94"/>
      <c r="P5" s="1"/>
      <c r="Q5" s="1"/>
      <c r="R5" s="1"/>
      <c r="S5" s="1"/>
      <c r="T5" s="1"/>
      <c r="U5" s="1"/>
      <c r="V5" s="1"/>
      <c r="W5" s="1"/>
      <c r="X5" s="1"/>
      <c r="Y5" s="1"/>
      <c r="Z5" s="1"/>
    </row>
    <row r="6" ht="12.75" customHeight="1">
      <c r="A6" s="78" t="s">
        <v>0</v>
      </c>
      <c r="B6" s="58"/>
      <c r="C6" s="58"/>
      <c r="D6" s="95" t="s">
        <v>80</v>
      </c>
      <c r="E6" s="58"/>
      <c r="F6" s="95" t="s">
        <v>81</v>
      </c>
      <c r="G6" s="95" t="s">
        <v>82</v>
      </c>
      <c r="H6" s="95" t="s">
        <v>13</v>
      </c>
      <c r="I6" s="95" t="s">
        <v>83</v>
      </c>
      <c r="J6" s="95" t="s">
        <v>84</v>
      </c>
      <c r="K6" s="95" t="s">
        <v>85</v>
      </c>
      <c r="L6" s="96" t="s">
        <v>86</v>
      </c>
      <c r="M6" s="95" t="s">
        <v>87</v>
      </c>
      <c r="N6" s="95" t="s">
        <v>88</v>
      </c>
      <c r="O6" s="97" t="s">
        <v>89</v>
      </c>
      <c r="P6" s="1"/>
      <c r="Q6" s="1"/>
      <c r="R6" s="1"/>
      <c r="S6" s="1"/>
      <c r="T6" s="1"/>
      <c r="U6" s="1"/>
      <c r="V6" s="1"/>
      <c r="W6" s="1"/>
      <c r="X6" s="1"/>
      <c r="Y6" s="1"/>
      <c r="Z6" s="1"/>
    </row>
    <row r="7" ht="12.75" customHeight="1">
      <c r="A7" s="91"/>
      <c r="B7" s="1"/>
      <c r="C7" s="1"/>
      <c r="D7" s="1"/>
      <c r="E7" s="1"/>
      <c r="F7" s="1"/>
      <c r="G7" s="1"/>
      <c r="H7" s="1"/>
      <c r="I7" s="1"/>
      <c r="J7" s="1"/>
      <c r="K7" s="1"/>
      <c r="L7" s="98"/>
      <c r="M7" s="1"/>
      <c r="N7" s="1"/>
      <c r="O7" s="99"/>
      <c r="P7" s="1"/>
      <c r="Q7" s="1"/>
      <c r="R7" s="1"/>
      <c r="S7" s="1"/>
      <c r="T7" s="1"/>
      <c r="U7" s="1"/>
      <c r="V7" s="1"/>
      <c r="W7" s="1"/>
      <c r="X7" s="1"/>
      <c r="Y7" s="1"/>
      <c r="Z7" s="1"/>
    </row>
    <row r="8" ht="12.75" customHeight="1">
      <c r="A8" s="91"/>
      <c r="B8" s="1"/>
      <c r="C8" s="1"/>
      <c r="D8" s="1"/>
      <c r="E8" s="1"/>
      <c r="F8" s="1"/>
      <c r="G8" s="1"/>
      <c r="H8" s="1"/>
      <c r="I8" s="1"/>
      <c r="J8" s="1"/>
      <c r="K8" s="1"/>
      <c r="L8" s="98"/>
      <c r="M8" s="1"/>
      <c r="N8" s="1"/>
      <c r="O8" s="99"/>
      <c r="P8" s="1"/>
      <c r="Q8" s="1"/>
      <c r="R8" s="1"/>
      <c r="S8" s="1"/>
      <c r="T8" s="1"/>
      <c r="U8" s="1"/>
      <c r="V8" s="1"/>
      <c r="W8" s="1"/>
      <c r="X8" s="1"/>
      <c r="Y8" s="1"/>
      <c r="Z8" s="1"/>
    </row>
    <row r="9" ht="12.75" customHeight="1">
      <c r="A9" s="91"/>
      <c r="B9" s="1"/>
      <c r="C9" s="1"/>
      <c r="D9" s="1"/>
      <c r="E9" s="1"/>
      <c r="F9" s="1"/>
      <c r="G9" s="1"/>
      <c r="H9" s="1"/>
      <c r="I9" s="1"/>
      <c r="J9" s="1"/>
      <c r="K9" s="1"/>
      <c r="L9" s="98"/>
      <c r="M9" s="1"/>
      <c r="N9" s="1"/>
      <c r="O9" s="99"/>
      <c r="P9" s="1"/>
      <c r="Q9" s="1"/>
      <c r="R9" s="1"/>
      <c r="S9" s="1"/>
      <c r="T9" s="1"/>
      <c r="U9" s="1"/>
      <c r="V9" s="1"/>
      <c r="W9" s="1"/>
      <c r="X9" s="1"/>
      <c r="Y9" s="1"/>
      <c r="Z9" s="1"/>
    </row>
    <row r="10" ht="12.75" customHeight="1">
      <c r="A10" s="91"/>
      <c r="B10" s="1"/>
      <c r="C10" s="1"/>
      <c r="D10" s="1"/>
      <c r="E10" s="1"/>
      <c r="F10" s="1"/>
      <c r="G10" s="1"/>
      <c r="H10" s="1"/>
      <c r="I10" s="1"/>
      <c r="J10" s="1"/>
      <c r="K10" s="1"/>
      <c r="L10" s="98"/>
      <c r="M10" s="1"/>
      <c r="N10" s="1"/>
      <c r="O10" s="99"/>
      <c r="P10" s="1"/>
      <c r="Q10" s="1"/>
      <c r="R10" s="1"/>
      <c r="S10" s="1"/>
      <c r="T10" s="1"/>
      <c r="U10" s="1"/>
      <c r="V10" s="1"/>
      <c r="W10" s="1"/>
      <c r="X10" s="1"/>
      <c r="Y10" s="1"/>
      <c r="Z10" s="1"/>
    </row>
    <row r="11" ht="12.75" customHeight="1">
      <c r="A11" s="91"/>
      <c r="B11" s="1"/>
      <c r="C11" s="1"/>
      <c r="D11" s="1"/>
      <c r="E11" s="1"/>
      <c r="F11" s="1"/>
      <c r="G11" s="1"/>
      <c r="H11" s="1"/>
      <c r="I11" s="1"/>
      <c r="J11" s="1"/>
      <c r="K11" s="1"/>
      <c r="L11" s="98"/>
      <c r="M11" s="1"/>
      <c r="N11" s="1"/>
      <c r="O11" s="99"/>
      <c r="P11" s="1"/>
      <c r="Q11" s="1"/>
      <c r="R11" s="1"/>
      <c r="S11" s="1"/>
      <c r="T11" s="1"/>
      <c r="U11" s="1"/>
      <c r="V11" s="1"/>
      <c r="W11" s="1"/>
      <c r="X11" s="1"/>
      <c r="Y11" s="1"/>
      <c r="Z11" s="1"/>
    </row>
    <row r="12" ht="12.75" customHeight="1">
      <c r="A12" s="91"/>
      <c r="B12" s="1"/>
      <c r="C12" s="1"/>
      <c r="D12" s="1"/>
      <c r="E12" s="1"/>
      <c r="F12" s="1"/>
      <c r="G12" s="1"/>
      <c r="H12" s="1"/>
      <c r="I12" s="1"/>
      <c r="J12" s="1"/>
      <c r="K12" s="1"/>
      <c r="L12" s="98"/>
      <c r="M12" s="1"/>
      <c r="N12" s="1"/>
      <c r="O12" s="99"/>
      <c r="P12" s="1"/>
      <c r="Q12" s="1"/>
      <c r="R12" s="1"/>
      <c r="S12" s="1"/>
      <c r="T12" s="1"/>
      <c r="U12" s="1"/>
      <c r="V12" s="1"/>
      <c r="W12" s="1"/>
      <c r="X12" s="1"/>
      <c r="Y12" s="1"/>
      <c r="Z12" s="1"/>
    </row>
    <row r="13" ht="12.75" customHeight="1">
      <c r="A13" s="91"/>
      <c r="B13" s="1"/>
      <c r="C13" s="1"/>
      <c r="D13" s="1"/>
      <c r="E13" s="1"/>
      <c r="F13" s="1"/>
      <c r="G13" s="1"/>
      <c r="H13" s="1"/>
      <c r="I13" s="1"/>
      <c r="J13" s="1"/>
      <c r="K13" s="1"/>
      <c r="L13" s="98"/>
      <c r="M13" s="1"/>
      <c r="N13" s="1"/>
      <c r="O13" s="99"/>
      <c r="P13" s="1"/>
      <c r="Q13" s="1"/>
      <c r="R13" s="1"/>
      <c r="S13" s="1"/>
      <c r="T13" s="1"/>
      <c r="U13" s="1"/>
      <c r="V13" s="1"/>
      <c r="W13" s="1"/>
      <c r="X13" s="1"/>
      <c r="Y13" s="1"/>
      <c r="Z13" s="1"/>
    </row>
    <row r="14" ht="12.75" customHeight="1">
      <c r="A14" s="91"/>
      <c r="B14" s="1"/>
      <c r="C14" s="1"/>
      <c r="D14" s="1"/>
      <c r="E14" s="1"/>
      <c r="F14" s="1"/>
      <c r="G14" s="1"/>
      <c r="H14" s="1"/>
      <c r="I14" s="1"/>
      <c r="J14" s="1"/>
      <c r="K14" s="1"/>
      <c r="L14" s="98"/>
      <c r="M14" s="1"/>
      <c r="N14" s="1"/>
      <c r="O14" s="99"/>
      <c r="P14" s="1"/>
      <c r="Q14" s="1"/>
      <c r="R14" s="1"/>
      <c r="S14" s="1"/>
      <c r="T14" s="1"/>
      <c r="U14" s="1"/>
      <c r="V14" s="1"/>
      <c r="W14" s="1"/>
      <c r="X14" s="1"/>
      <c r="Y14" s="1"/>
      <c r="Z14" s="1"/>
    </row>
    <row r="15" ht="12.75" customHeight="1">
      <c r="A15" s="91"/>
      <c r="B15" s="1"/>
      <c r="C15" s="1"/>
      <c r="D15" s="1"/>
      <c r="E15" s="1"/>
      <c r="F15" s="1"/>
      <c r="G15" s="1"/>
      <c r="H15" s="1"/>
      <c r="I15" s="1"/>
      <c r="J15" s="1"/>
      <c r="K15" s="1"/>
      <c r="L15" s="98"/>
      <c r="M15" s="1"/>
      <c r="N15" s="1"/>
      <c r="O15" s="99"/>
      <c r="P15" s="1"/>
      <c r="Q15" s="1"/>
      <c r="R15" s="1"/>
      <c r="S15" s="1"/>
      <c r="T15" s="1"/>
      <c r="U15" s="1"/>
      <c r="V15" s="1"/>
      <c r="W15" s="1"/>
      <c r="X15" s="1"/>
      <c r="Y15" s="1"/>
      <c r="Z15" s="1"/>
    </row>
    <row r="16" ht="12.75" customHeight="1">
      <c r="A16" s="91"/>
      <c r="B16" s="1"/>
      <c r="C16" s="1"/>
      <c r="D16" s="1"/>
      <c r="E16" s="1"/>
      <c r="F16" s="1"/>
      <c r="G16" s="1"/>
      <c r="H16" s="1"/>
      <c r="I16" s="1"/>
      <c r="J16" s="1"/>
      <c r="K16" s="1"/>
      <c r="L16" s="98"/>
      <c r="M16" s="1"/>
      <c r="N16" s="1"/>
      <c r="O16" s="99"/>
      <c r="P16" s="1"/>
      <c r="Q16" s="1"/>
      <c r="R16" s="1"/>
      <c r="S16" s="1"/>
      <c r="T16" s="1"/>
      <c r="U16" s="1"/>
      <c r="V16" s="1"/>
      <c r="W16" s="1"/>
      <c r="X16" s="1"/>
      <c r="Y16" s="1"/>
      <c r="Z16" s="1"/>
    </row>
    <row r="17" ht="12.75" customHeight="1">
      <c r="A17" s="91"/>
      <c r="B17" s="1"/>
      <c r="C17" s="1"/>
      <c r="D17" s="1"/>
      <c r="E17" s="1"/>
      <c r="F17" s="1"/>
      <c r="G17" s="1"/>
      <c r="H17" s="1"/>
      <c r="I17" s="1"/>
      <c r="J17" s="1"/>
      <c r="K17" s="1"/>
      <c r="L17" s="98"/>
      <c r="M17" s="1"/>
      <c r="N17" s="1"/>
      <c r="O17" s="99"/>
      <c r="P17" s="1"/>
      <c r="Q17" s="1"/>
      <c r="R17" s="1"/>
      <c r="S17" s="1"/>
      <c r="T17" s="1"/>
      <c r="U17" s="1"/>
      <c r="V17" s="1"/>
      <c r="W17" s="1"/>
      <c r="X17" s="1"/>
      <c r="Y17" s="1"/>
      <c r="Z17" s="1"/>
    </row>
    <row r="18" ht="12.75" customHeight="1">
      <c r="A18" s="91"/>
      <c r="B18" s="1"/>
      <c r="C18" s="1"/>
      <c r="D18" s="1"/>
      <c r="E18" s="1"/>
      <c r="F18" s="1"/>
      <c r="G18" s="1"/>
      <c r="H18" s="1"/>
      <c r="I18" s="1"/>
      <c r="J18" s="1"/>
      <c r="K18" s="1"/>
      <c r="L18" s="98"/>
      <c r="M18" s="1"/>
      <c r="N18" s="1"/>
      <c r="O18" s="99"/>
      <c r="P18" s="1"/>
      <c r="Q18" s="1"/>
      <c r="R18" s="1"/>
      <c r="S18" s="1"/>
      <c r="T18" s="1"/>
      <c r="U18" s="1"/>
      <c r="V18" s="1"/>
      <c r="W18" s="1"/>
      <c r="X18" s="1"/>
      <c r="Y18" s="1"/>
      <c r="Z18" s="1"/>
    </row>
    <row r="19" ht="12.75" customHeight="1">
      <c r="A19" s="91"/>
      <c r="B19" s="1"/>
      <c r="C19" s="1"/>
      <c r="D19" s="1"/>
      <c r="E19" s="1"/>
      <c r="F19" s="1"/>
      <c r="G19" s="1"/>
      <c r="H19" s="1"/>
      <c r="I19" s="1"/>
      <c r="J19" s="1"/>
      <c r="K19" s="1"/>
      <c r="L19" s="98"/>
      <c r="M19" s="1"/>
      <c r="N19" s="1"/>
      <c r="O19" s="99"/>
      <c r="P19" s="1"/>
      <c r="Q19" s="1"/>
      <c r="R19" s="1"/>
      <c r="S19" s="1"/>
      <c r="T19" s="1"/>
      <c r="U19" s="1"/>
      <c r="V19" s="1"/>
      <c r="W19" s="1"/>
      <c r="X19" s="1"/>
      <c r="Y19" s="1"/>
      <c r="Z19" s="1"/>
    </row>
    <row r="20" ht="12.75" customHeight="1">
      <c r="A20" s="91"/>
      <c r="B20" s="1"/>
      <c r="C20" s="1"/>
      <c r="D20" s="1"/>
      <c r="E20" s="1"/>
      <c r="F20" s="1"/>
      <c r="G20" s="1"/>
      <c r="H20" s="1"/>
      <c r="I20" s="1"/>
      <c r="J20" s="1"/>
      <c r="K20" s="1"/>
      <c r="L20" s="98"/>
      <c r="M20" s="1"/>
      <c r="N20" s="1"/>
      <c r="O20" s="99"/>
      <c r="P20" s="1"/>
      <c r="Q20" s="1"/>
      <c r="R20" s="1"/>
      <c r="S20" s="1"/>
      <c r="T20" s="1"/>
      <c r="U20" s="1"/>
      <c r="V20" s="1"/>
      <c r="W20" s="1"/>
      <c r="X20" s="1"/>
      <c r="Y20" s="1"/>
      <c r="Z20" s="1"/>
    </row>
    <row r="21" ht="12.75" customHeight="1">
      <c r="A21" s="91"/>
      <c r="B21" s="1"/>
      <c r="C21" s="1"/>
      <c r="D21" s="1"/>
      <c r="E21" s="1"/>
      <c r="F21" s="1"/>
      <c r="G21" s="1"/>
      <c r="H21" s="1"/>
      <c r="I21" s="1"/>
      <c r="J21" s="1"/>
      <c r="K21" s="1"/>
      <c r="L21" s="98"/>
      <c r="M21" s="1"/>
      <c r="N21" s="1"/>
      <c r="O21" s="99"/>
      <c r="P21" s="1"/>
      <c r="Q21" s="1"/>
      <c r="R21" s="1"/>
      <c r="S21" s="1"/>
      <c r="T21" s="1"/>
      <c r="U21" s="1"/>
      <c r="V21" s="1"/>
      <c r="W21" s="1"/>
      <c r="X21" s="1"/>
      <c r="Y21" s="1"/>
      <c r="Z21" s="1"/>
    </row>
    <row r="22" ht="12.75" customHeight="1">
      <c r="A22" s="21"/>
      <c r="B22" s="58"/>
      <c r="C22" s="58"/>
      <c r="D22" s="58"/>
      <c r="E22" s="58"/>
      <c r="F22" s="58"/>
      <c r="G22" s="58"/>
      <c r="H22" s="58"/>
      <c r="I22" s="58"/>
      <c r="J22" s="58"/>
      <c r="K22" s="58"/>
      <c r="L22" s="100"/>
      <c r="M22" s="58"/>
      <c r="N22" s="58"/>
      <c r="O22" s="86"/>
      <c r="P22" s="1"/>
      <c r="Q22" s="1"/>
      <c r="R22" s="1"/>
      <c r="S22" s="1"/>
      <c r="T22" s="1"/>
      <c r="U22" s="1"/>
      <c r="V22" s="1"/>
      <c r="W22" s="1"/>
      <c r="X22" s="1"/>
      <c r="Y22" s="1"/>
      <c r="Z22" s="1"/>
    </row>
    <row r="23" ht="14.25" customHeight="1">
      <c r="A23" s="72" t="s">
        <v>90</v>
      </c>
      <c r="B23" s="33"/>
      <c r="C23" s="33"/>
      <c r="D23" s="33"/>
      <c r="E23" s="33"/>
      <c r="F23" s="33"/>
      <c r="G23" s="33"/>
      <c r="H23" s="33"/>
      <c r="I23" s="33"/>
      <c r="J23" s="33"/>
      <c r="K23" s="34"/>
      <c r="L23" s="72" t="s">
        <v>91</v>
      </c>
      <c r="M23" s="33"/>
      <c r="N23" s="33"/>
      <c r="O23" s="34"/>
      <c r="P23" s="1"/>
      <c r="Q23" s="1"/>
      <c r="R23" s="1"/>
      <c r="S23" s="1"/>
      <c r="T23" s="1"/>
      <c r="U23" s="1"/>
      <c r="V23" s="1"/>
      <c r="W23" s="1"/>
      <c r="X23" s="1"/>
      <c r="Y23" s="1"/>
      <c r="Z23" s="1"/>
    </row>
    <row r="24" ht="12.75" customHeight="1">
      <c r="A24" s="78" t="s">
        <v>0</v>
      </c>
      <c r="B24" s="58"/>
      <c r="C24" s="58"/>
      <c r="D24" s="58"/>
      <c r="E24" s="95" t="s">
        <v>17</v>
      </c>
      <c r="F24" s="58"/>
      <c r="G24" s="58"/>
      <c r="H24" s="58"/>
      <c r="I24" s="58"/>
      <c r="J24" s="58"/>
      <c r="K24" s="97" t="s">
        <v>85</v>
      </c>
      <c r="L24" s="78" t="s">
        <v>0</v>
      </c>
      <c r="M24" s="95"/>
      <c r="N24" s="95" t="s">
        <v>92</v>
      </c>
      <c r="O24" s="97"/>
      <c r="P24" s="1"/>
      <c r="Q24" s="1"/>
      <c r="R24" s="1"/>
      <c r="S24" s="1"/>
      <c r="T24" s="1"/>
      <c r="U24" s="1"/>
      <c r="V24" s="1"/>
      <c r="W24" s="1"/>
      <c r="X24" s="1"/>
      <c r="Y24" s="1"/>
      <c r="Z24" s="1"/>
    </row>
    <row r="25" ht="12.75" customHeight="1">
      <c r="A25" s="91"/>
      <c r="B25" s="1"/>
      <c r="C25" s="1"/>
      <c r="D25" s="1"/>
      <c r="E25" s="1"/>
      <c r="F25" s="1"/>
      <c r="G25" s="1"/>
      <c r="H25" s="1"/>
      <c r="I25" s="1"/>
      <c r="J25" s="1"/>
      <c r="K25" s="99"/>
      <c r="L25" s="91"/>
      <c r="M25" s="1"/>
      <c r="N25" s="1"/>
      <c r="O25" s="99"/>
      <c r="P25" s="1"/>
      <c r="Q25" s="1"/>
      <c r="R25" s="1"/>
      <c r="S25" s="1"/>
      <c r="T25" s="1"/>
      <c r="U25" s="1"/>
      <c r="V25" s="1"/>
      <c r="W25" s="1"/>
      <c r="X25" s="1"/>
      <c r="Y25" s="1"/>
      <c r="Z25" s="1"/>
    </row>
    <row r="26" ht="12.75" customHeight="1">
      <c r="A26" s="91"/>
      <c r="B26" s="1"/>
      <c r="C26" s="1"/>
      <c r="D26" s="1"/>
      <c r="E26" s="1"/>
      <c r="F26" s="1"/>
      <c r="G26" s="1"/>
      <c r="H26" s="1"/>
      <c r="I26" s="1"/>
      <c r="J26" s="1"/>
      <c r="K26" s="99"/>
      <c r="L26" s="91"/>
      <c r="M26" s="1"/>
      <c r="N26" s="1"/>
      <c r="O26" s="99"/>
      <c r="P26" s="1"/>
      <c r="Q26" s="1"/>
      <c r="R26" s="1"/>
      <c r="S26" s="1"/>
      <c r="T26" s="1"/>
      <c r="U26" s="1"/>
      <c r="V26" s="1"/>
      <c r="W26" s="1"/>
      <c r="X26" s="1"/>
      <c r="Y26" s="1"/>
      <c r="Z26" s="1"/>
    </row>
    <row r="27" ht="12.75" customHeight="1">
      <c r="A27" s="91"/>
      <c r="B27" s="1"/>
      <c r="C27" s="1"/>
      <c r="D27" s="1"/>
      <c r="E27" s="1"/>
      <c r="F27" s="1"/>
      <c r="G27" s="1"/>
      <c r="H27" s="1"/>
      <c r="I27" s="1"/>
      <c r="J27" s="1"/>
      <c r="K27" s="99"/>
      <c r="L27" s="91"/>
      <c r="M27" s="1"/>
      <c r="N27" s="1"/>
      <c r="O27" s="99"/>
      <c r="P27" s="1"/>
      <c r="Q27" s="1"/>
      <c r="R27" s="1"/>
      <c r="S27" s="1"/>
      <c r="T27" s="1"/>
      <c r="U27" s="1"/>
      <c r="V27" s="1"/>
      <c r="W27" s="1"/>
      <c r="X27" s="1"/>
      <c r="Y27" s="1"/>
      <c r="Z27" s="1"/>
    </row>
    <row r="28" ht="12.75" customHeight="1">
      <c r="A28" s="91"/>
      <c r="B28" s="1"/>
      <c r="C28" s="1"/>
      <c r="D28" s="1"/>
      <c r="E28" s="1"/>
      <c r="F28" s="1"/>
      <c r="G28" s="1"/>
      <c r="H28" s="1"/>
      <c r="I28" s="1"/>
      <c r="J28" s="1"/>
      <c r="K28" s="99"/>
      <c r="L28" s="91"/>
      <c r="M28" s="1"/>
      <c r="N28" s="1"/>
      <c r="O28" s="99"/>
      <c r="P28" s="1"/>
      <c r="Q28" s="1"/>
      <c r="R28" s="1"/>
      <c r="S28" s="1"/>
      <c r="T28" s="1"/>
      <c r="U28" s="1"/>
      <c r="V28" s="1"/>
      <c r="W28" s="1"/>
      <c r="X28" s="1"/>
      <c r="Y28" s="1"/>
      <c r="Z28" s="1"/>
    </row>
    <row r="29" ht="12.75" customHeight="1">
      <c r="A29" s="91"/>
      <c r="B29" s="1"/>
      <c r="C29" s="1"/>
      <c r="D29" s="1"/>
      <c r="E29" s="1"/>
      <c r="F29" s="1"/>
      <c r="G29" s="1"/>
      <c r="H29" s="1"/>
      <c r="I29" s="1"/>
      <c r="J29" s="1"/>
      <c r="K29" s="99"/>
      <c r="L29" s="91"/>
      <c r="M29" s="1"/>
      <c r="N29" s="1"/>
      <c r="O29" s="99"/>
      <c r="P29" s="1"/>
      <c r="Q29" s="1"/>
      <c r="R29" s="1"/>
      <c r="S29" s="1"/>
      <c r="T29" s="1"/>
      <c r="U29" s="1"/>
      <c r="V29" s="1"/>
      <c r="W29" s="1"/>
      <c r="X29" s="1"/>
      <c r="Y29" s="1"/>
      <c r="Z29" s="1"/>
    </row>
    <row r="30" ht="12.75" customHeight="1">
      <c r="A30" s="91"/>
      <c r="B30" s="1"/>
      <c r="C30" s="1"/>
      <c r="D30" s="1"/>
      <c r="E30" s="1"/>
      <c r="F30" s="1"/>
      <c r="G30" s="1"/>
      <c r="H30" s="1"/>
      <c r="I30" s="1"/>
      <c r="J30" s="1"/>
      <c r="K30" s="99"/>
      <c r="L30" s="91"/>
      <c r="M30" s="1"/>
      <c r="N30" s="1"/>
      <c r="O30" s="99"/>
      <c r="P30" s="1"/>
      <c r="Q30" s="1"/>
      <c r="R30" s="1"/>
      <c r="S30" s="1"/>
      <c r="T30" s="1"/>
      <c r="U30" s="1"/>
      <c r="V30" s="1"/>
      <c r="W30" s="1"/>
      <c r="X30" s="1"/>
      <c r="Y30" s="1"/>
      <c r="Z30" s="1"/>
    </row>
    <row r="31" ht="12.75" customHeight="1">
      <c r="A31" s="91"/>
      <c r="B31" s="1"/>
      <c r="C31" s="1"/>
      <c r="D31" s="1"/>
      <c r="E31" s="1"/>
      <c r="F31" s="1"/>
      <c r="G31" s="1"/>
      <c r="H31" s="1"/>
      <c r="I31" s="1"/>
      <c r="J31" s="1"/>
      <c r="K31" s="99"/>
      <c r="L31" s="91"/>
      <c r="M31" s="1"/>
      <c r="N31" s="1"/>
      <c r="O31" s="99"/>
      <c r="P31" s="1"/>
      <c r="Q31" s="1"/>
      <c r="R31" s="1"/>
      <c r="S31" s="1"/>
      <c r="T31" s="1"/>
      <c r="U31" s="1"/>
      <c r="V31" s="1"/>
      <c r="W31" s="1"/>
      <c r="X31" s="1"/>
      <c r="Y31" s="1"/>
      <c r="Z31" s="1"/>
    </row>
    <row r="32" ht="12.75" customHeight="1">
      <c r="A32" s="91"/>
      <c r="B32" s="1"/>
      <c r="C32" s="1"/>
      <c r="D32" s="1"/>
      <c r="E32" s="1"/>
      <c r="F32" s="1"/>
      <c r="G32" s="1"/>
      <c r="H32" s="1"/>
      <c r="I32" s="1"/>
      <c r="J32" s="1"/>
      <c r="K32" s="99"/>
      <c r="L32" s="91"/>
      <c r="M32" s="1"/>
      <c r="N32" s="1"/>
      <c r="O32" s="99"/>
      <c r="P32" s="1"/>
      <c r="Q32" s="1"/>
      <c r="R32" s="1"/>
      <c r="S32" s="1"/>
      <c r="T32" s="1"/>
      <c r="U32" s="1"/>
      <c r="V32" s="1"/>
      <c r="W32" s="1"/>
      <c r="X32" s="1"/>
      <c r="Y32" s="1"/>
      <c r="Z32" s="1"/>
    </row>
    <row r="33" ht="12.75" customHeight="1">
      <c r="A33" s="91"/>
      <c r="B33" s="1"/>
      <c r="C33" s="1"/>
      <c r="D33" s="1"/>
      <c r="E33" s="1"/>
      <c r="F33" s="1"/>
      <c r="G33" s="1"/>
      <c r="H33" s="1"/>
      <c r="I33" s="1"/>
      <c r="J33" s="1"/>
      <c r="K33" s="99"/>
      <c r="L33" s="91"/>
      <c r="M33" s="1"/>
      <c r="N33" s="1"/>
      <c r="O33" s="99"/>
      <c r="P33" s="1"/>
      <c r="Q33" s="1"/>
      <c r="R33" s="1"/>
      <c r="S33" s="1"/>
      <c r="T33" s="1"/>
      <c r="U33" s="1"/>
      <c r="V33" s="1"/>
      <c r="W33" s="1"/>
      <c r="X33" s="1"/>
      <c r="Y33" s="1"/>
      <c r="Z33" s="1"/>
    </row>
    <row r="34" ht="12.75" customHeight="1">
      <c r="A34" s="91"/>
      <c r="B34" s="1"/>
      <c r="C34" s="1"/>
      <c r="D34" s="1"/>
      <c r="E34" s="1"/>
      <c r="F34" s="1"/>
      <c r="G34" s="1"/>
      <c r="H34" s="1"/>
      <c r="I34" s="1"/>
      <c r="J34" s="1"/>
      <c r="K34" s="99"/>
      <c r="L34" s="91"/>
      <c r="M34" s="1"/>
      <c r="N34" s="1"/>
      <c r="O34" s="99"/>
      <c r="P34" s="1"/>
      <c r="Q34" s="1"/>
      <c r="R34" s="1"/>
      <c r="S34" s="1"/>
      <c r="T34" s="1"/>
      <c r="U34" s="1"/>
      <c r="V34" s="1"/>
      <c r="W34" s="1"/>
      <c r="X34" s="1"/>
      <c r="Y34" s="1"/>
      <c r="Z34" s="1"/>
    </row>
    <row r="35" ht="12.75" customHeight="1">
      <c r="A35" s="91"/>
      <c r="B35" s="1"/>
      <c r="C35" s="1"/>
      <c r="D35" s="1"/>
      <c r="E35" s="1"/>
      <c r="F35" s="1"/>
      <c r="G35" s="1"/>
      <c r="H35" s="1"/>
      <c r="I35" s="1"/>
      <c r="J35" s="1"/>
      <c r="K35" s="99"/>
      <c r="L35" s="91"/>
      <c r="M35" s="1"/>
      <c r="N35" s="1"/>
      <c r="O35" s="99"/>
      <c r="P35" s="1"/>
      <c r="Q35" s="1"/>
      <c r="R35" s="1"/>
      <c r="S35" s="1"/>
      <c r="T35" s="1"/>
      <c r="U35" s="1"/>
      <c r="V35" s="1"/>
      <c r="W35" s="1"/>
      <c r="X35" s="1"/>
      <c r="Y35" s="1"/>
      <c r="Z35" s="1"/>
    </row>
    <row r="36" ht="12.75" customHeight="1">
      <c r="A36" s="91"/>
      <c r="B36" s="1"/>
      <c r="C36" s="1"/>
      <c r="D36" s="1"/>
      <c r="E36" s="1"/>
      <c r="F36" s="1"/>
      <c r="G36" s="1"/>
      <c r="H36" s="1"/>
      <c r="I36" s="1"/>
      <c r="J36" s="1"/>
      <c r="K36" s="99"/>
      <c r="L36" s="91"/>
      <c r="M36" s="1"/>
      <c r="N36" s="1"/>
      <c r="O36" s="99"/>
      <c r="P36" s="1"/>
      <c r="Q36" s="1"/>
      <c r="R36" s="1"/>
      <c r="S36" s="1"/>
      <c r="T36" s="1"/>
      <c r="U36" s="1"/>
      <c r="V36" s="1"/>
      <c r="W36" s="1"/>
      <c r="X36" s="1"/>
      <c r="Y36" s="1"/>
      <c r="Z36" s="1"/>
    </row>
    <row r="37" ht="12.75" customHeight="1">
      <c r="A37" s="91"/>
      <c r="B37" s="1"/>
      <c r="C37" s="1"/>
      <c r="D37" s="1"/>
      <c r="E37" s="1"/>
      <c r="F37" s="1"/>
      <c r="G37" s="1"/>
      <c r="H37" s="1"/>
      <c r="I37" s="1"/>
      <c r="J37" s="1"/>
      <c r="K37" s="99"/>
      <c r="L37" s="91"/>
      <c r="M37" s="1"/>
      <c r="N37" s="1"/>
      <c r="O37" s="99"/>
      <c r="P37" s="1"/>
      <c r="Q37" s="1"/>
      <c r="R37" s="1"/>
      <c r="S37" s="1"/>
      <c r="T37" s="1"/>
      <c r="U37" s="1"/>
      <c r="V37" s="1"/>
      <c r="W37" s="1"/>
      <c r="X37" s="1"/>
      <c r="Y37" s="1"/>
      <c r="Z37" s="1"/>
    </row>
    <row r="38" ht="12.75" customHeight="1">
      <c r="A38" s="91"/>
      <c r="B38" s="1"/>
      <c r="C38" s="1"/>
      <c r="D38" s="1"/>
      <c r="E38" s="1"/>
      <c r="F38" s="1"/>
      <c r="G38" s="1"/>
      <c r="H38" s="1"/>
      <c r="I38" s="1"/>
      <c r="J38" s="1"/>
      <c r="K38" s="99"/>
      <c r="L38" s="91"/>
      <c r="M38" s="1"/>
      <c r="N38" s="1"/>
      <c r="O38" s="99"/>
      <c r="P38" s="1"/>
      <c r="Q38" s="1"/>
      <c r="R38" s="1"/>
      <c r="S38" s="1"/>
      <c r="T38" s="1"/>
      <c r="U38" s="1"/>
      <c r="V38" s="1"/>
      <c r="W38" s="1"/>
      <c r="X38" s="1"/>
      <c r="Y38" s="1"/>
      <c r="Z38" s="1"/>
    </row>
    <row r="39" ht="12.75" customHeight="1">
      <c r="A39" s="91"/>
      <c r="B39" s="1"/>
      <c r="C39" s="1"/>
      <c r="D39" s="1"/>
      <c r="E39" s="1"/>
      <c r="F39" s="1"/>
      <c r="G39" s="1"/>
      <c r="H39" s="1"/>
      <c r="I39" s="1"/>
      <c r="J39" s="1"/>
      <c r="K39" s="99"/>
      <c r="L39" s="91"/>
      <c r="M39" s="1"/>
      <c r="N39" s="1"/>
      <c r="O39" s="99"/>
      <c r="P39" s="1"/>
      <c r="Q39" s="1"/>
      <c r="R39" s="1"/>
      <c r="S39" s="1"/>
      <c r="T39" s="1"/>
      <c r="U39" s="1"/>
      <c r="V39" s="1"/>
      <c r="W39" s="1"/>
      <c r="X39" s="1"/>
      <c r="Y39" s="1"/>
      <c r="Z39" s="1"/>
    </row>
    <row r="40" ht="12.75" customHeight="1">
      <c r="A40" s="91"/>
      <c r="B40" s="1"/>
      <c r="C40" s="1"/>
      <c r="D40" s="1"/>
      <c r="E40" s="1"/>
      <c r="F40" s="1"/>
      <c r="G40" s="1"/>
      <c r="H40" s="1"/>
      <c r="I40" s="1"/>
      <c r="J40" s="1"/>
      <c r="K40" s="99"/>
      <c r="L40" s="91"/>
      <c r="M40" s="1"/>
      <c r="N40" s="1"/>
      <c r="O40" s="99"/>
      <c r="P40" s="1"/>
      <c r="Q40" s="1"/>
      <c r="R40" s="1"/>
      <c r="S40" s="1"/>
      <c r="T40" s="1"/>
      <c r="U40" s="1"/>
      <c r="V40" s="1"/>
      <c r="W40" s="1"/>
      <c r="X40" s="1"/>
      <c r="Y40" s="1"/>
      <c r="Z40" s="1"/>
    </row>
    <row r="41" ht="12.75" customHeight="1">
      <c r="A41" s="91"/>
      <c r="B41" s="1"/>
      <c r="C41" s="1"/>
      <c r="D41" s="1"/>
      <c r="E41" s="1"/>
      <c r="F41" s="1"/>
      <c r="G41" s="1"/>
      <c r="H41" s="1"/>
      <c r="I41" s="1"/>
      <c r="J41" s="1"/>
      <c r="K41" s="99"/>
      <c r="L41" s="91"/>
      <c r="M41" s="1"/>
      <c r="N41" s="1"/>
      <c r="O41" s="99"/>
      <c r="P41" s="1"/>
      <c r="Q41" s="1"/>
      <c r="R41" s="1"/>
      <c r="S41" s="1"/>
      <c r="T41" s="1"/>
      <c r="U41" s="1"/>
      <c r="V41" s="1"/>
      <c r="W41" s="1"/>
      <c r="X41" s="1"/>
      <c r="Y41" s="1"/>
      <c r="Z41" s="1"/>
    </row>
    <row r="42" ht="12.75" customHeight="1">
      <c r="A42" s="91"/>
      <c r="B42" s="1"/>
      <c r="C42" s="1"/>
      <c r="D42" s="1"/>
      <c r="E42" s="1"/>
      <c r="F42" s="1"/>
      <c r="G42" s="1"/>
      <c r="H42" s="1"/>
      <c r="I42" s="1"/>
      <c r="J42" s="1"/>
      <c r="K42" s="99"/>
      <c r="L42" s="91"/>
      <c r="M42" s="1"/>
      <c r="N42" s="1"/>
      <c r="O42" s="99"/>
      <c r="P42" s="1"/>
      <c r="Q42" s="1"/>
      <c r="R42" s="1"/>
      <c r="S42" s="1"/>
      <c r="T42" s="1"/>
      <c r="U42" s="1"/>
      <c r="V42" s="1"/>
      <c r="W42" s="1"/>
      <c r="X42" s="1"/>
      <c r="Y42" s="1"/>
      <c r="Z42" s="1"/>
    </row>
    <row r="43" ht="12.75" customHeight="1">
      <c r="A43" s="21"/>
      <c r="B43" s="58"/>
      <c r="C43" s="58"/>
      <c r="D43" s="58"/>
      <c r="E43" s="58"/>
      <c r="F43" s="58"/>
      <c r="G43" s="58"/>
      <c r="H43" s="58"/>
      <c r="I43" s="58"/>
      <c r="J43" s="58"/>
      <c r="K43" s="86"/>
      <c r="L43" s="21"/>
      <c r="M43" s="58"/>
      <c r="N43" s="58"/>
      <c r="O43" s="86"/>
      <c r="P43" s="1"/>
      <c r="Q43" s="1"/>
      <c r="R43" s="1"/>
      <c r="S43" s="1"/>
      <c r="T43" s="1"/>
      <c r="U43" s="1"/>
      <c r="V43" s="1"/>
      <c r="W43" s="1"/>
      <c r="X43" s="1"/>
      <c r="Y43" s="1"/>
      <c r="Z43" s="1"/>
    </row>
    <row r="44" ht="12.75" customHeight="1">
      <c r="A44" s="72" t="s">
        <v>18</v>
      </c>
      <c r="B44" s="51"/>
      <c r="C44" s="51"/>
      <c r="D44" s="51"/>
      <c r="E44" s="51"/>
      <c r="F44" s="51"/>
      <c r="G44" s="51"/>
      <c r="H44" s="51"/>
      <c r="I44" s="51"/>
      <c r="J44" s="51"/>
      <c r="K44" s="51"/>
      <c r="L44" s="51"/>
      <c r="M44" s="51"/>
      <c r="N44" s="51"/>
      <c r="O44" s="52"/>
      <c r="P44" s="1"/>
      <c r="Q44" s="1"/>
      <c r="R44" s="1"/>
      <c r="S44" s="1"/>
      <c r="T44" s="1"/>
      <c r="U44" s="1"/>
      <c r="V44" s="1"/>
      <c r="W44" s="1"/>
      <c r="X44" s="1"/>
      <c r="Y44" s="1"/>
      <c r="Z44" s="1"/>
    </row>
    <row r="45" ht="12.75" customHeight="1">
      <c r="A45" s="91"/>
      <c r="B45" s="1"/>
      <c r="C45" s="1"/>
      <c r="D45" s="1"/>
      <c r="E45" s="1"/>
      <c r="F45" s="1"/>
      <c r="G45" s="1"/>
      <c r="H45" s="1"/>
      <c r="I45" s="1"/>
      <c r="J45" s="1"/>
      <c r="K45" s="1"/>
      <c r="L45" s="1"/>
      <c r="M45" s="1"/>
      <c r="N45" s="1"/>
      <c r="O45" s="99"/>
      <c r="P45" s="1"/>
      <c r="Q45" s="1"/>
      <c r="R45" s="1"/>
      <c r="S45" s="1"/>
      <c r="T45" s="1"/>
      <c r="U45" s="1"/>
      <c r="V45" s="1"/>
      <c r="W45" s="1"/>
      <c r="X45" s="1"/>
      <c r="Y45" s="1"/>
      <c r="Z45" s="1"/>
    </row>
    <row r="46" ht="12.75" customHeight="1">
      <c r="A46" s="91"/>
      <c r="B46" s="1"/>
      <c r="C46" s="1"/>
      <c r="D46" s="1"/>
      <c r="E46" s="1"/>
      <c r="F46" s="1"/>
      <c r="G46" s="1"/>
      <c r="H46" s="1"/>
      <c r="I46" s="1"/>
      <c r="J46" s="1"/>
      <c r="K46" s="1"/>
      <c r="L46" s="1"/>
      <c r="M46" s="1"/>
      <c r="N46" s="1"/>
      <c r="O46" s="99"/>
      <c r="P46" s="1"/>
      <c r="Q46" s="1"/>
      <c r="R46" s="1"/>
      <c r="S46" s="1"/>
      <c r="T46" s="1"/>
      <c r="U46" s="1"/>
      <c r="V46" s="1"/>
      <c r="W46" s="1"/>
      <c r="X46" s="1"/>
      <c r="Y46" s="1"/>
      <c r="Z46" s="1"/>
    </row>
    <row r="47" ht="12.75" customHeight="1">
      <c r="A47" s="91"/>
      <c r="B47" s="1"/>
      <c r="C47" s="1"/>
      <c r="D47" s="1"/>
      <c r="E47" s="1"/>
      <c r="F47" s="1"/>
      <c r="G47" s="1"/>
      <c r="H47" s="1"/>
      <c r="I47" s="1"/>
      <c r="J47" s="1"/>
      <c r="K47" s="1"/>
      <c r="L47" s="1"/>
      <c r="M47" s="1"/>
      <c r="N47" s="1"/>
      <c r="O47" s="99"/>
      <c r="P47" s="1"/>
      <c r="Q47" s="1"/>
      <c r="R47" s="1"/>
      <c r="S47" s="1"/>
      <c r="T47" s="1"/>
      <c r="U47" s="1"/>
      <c r="V47" s="1"/>
      <c r="W47" s="1"/>
      <c r="X47" s="1"/>
      <c r="Y47" s="1"/>
      <c r="Z47" s="1"/>
    </row>
    <row r="48" ht="12.75" customHeight="1">
      <c r="A48" s="91"/>
      <c r="B48" s="1"/>
      <c r="C48" s="1"/>
      <c r="D48" s="1"/>
      <c r="E48" s="1"/>
      <c r="F48" s="1"/>
      <c r="G48" s="1"/>
      <c r="H48" s="1"/>
      <c r="I48" s="1"/>
      <c r="J48" s="1"/>
      <c r="K48" s="1"/>
      <c r="L48" s="1"/>
      <c r="M48" s="1"/>
      <c r="N48" s="1"/>
      <c r="O48" s="99"/>
      <c r="P48" s="1"/>
      <c r="Q48" s="1"/>
      <c r="R48" s="1"/>
      <c r="S48" s="1"/>
      <c r="T48" s="1"/>
      <c r="U48" s="1"/>
      <c r="V48" s="1"/>
      <c r="W48" s="1"/>
      <c r="X48" s="1"/>
      <c r="Y48" s="1"/>
      <c r="Z48" s="1"/>
    </row>
    <row r="49" ht="12.75" customHeight="1">
      <c r="A49" s="91"/>
      <c r="B49" s="1"/>
      <c r="C49" s="1"/>
      <c r="D49" s="1"/>
      <c r="E49" s="1"/>
      <c r="F49" s="1"/>
      <c r="G49" s="1"/>
      <c r="H49" s="1"/>
      <c r="I49" s="1"/>
      <c r="J49" s="1"/>
      <c r="K49" s="1"/>
      <c r="L49" s="1"/>
      <c r="M49" s="1"/>
      <c r="N49" s="1"/>
      <c r="O49" s="99"/>
      <c r="P49" s="1"/>
      <c r="Q49" s="1"/>
      <c r="R49" s="1"/>
      <c r="S49" s="1"/>
      <c r="T49" s="1"/>
      <c r="U49" s="1"/>
      <c r="V49" s="1"/>
      <c r="W49" s="1"/>
      <c r="X49" s="1"/>
      <c r="Y49" s="1"/>
      <c r="Z49" s="1"/>
    </row>
    <row r="50" ht="12.75" customHeight="1">
      <c r="A50" s="91"/>
      <c r="B50" s="1"/>
      <c r="C50" s="1"/>
      <c r="D50" s="1"/>
      <c r="E50" s="1"/>
      <c r="F50" s="1"/>
      <c r="G50" s="1"/>
      <c r="H50" s="1"/>
      <c r="I50" s="1"/>
      <c r="J50" s="1"/>
      <c r="K50" s="1"/>
      <c r="L50" s="1"/>
      <c r="M50" s="1"/>
      <c r="N50" s="1"/>
      <c r="O50" s="99"/>
      <c r="P50" s="1"/>
      <c r="Q50" s="1"/>
      <c r="R50" s="1"/>
      <c r="S50" s="1"/>
      <c r="T50" s="1"/>
      <c r="U50" s="1"/>
      <c r="V50" s="1"/>
      <c r="W50" s="1"/>
      <c r="X50" s="1"/>
      <c r="Y50" s="1"/>
      <c r="Z50" s="1"/>
    </row>
    <row r="51" ht="12.75" customHeight="1">
      <c r="A51" s="91"/>
      <c r="B51" s="1"/>
      <c r="C51" s="1"/>
      <c r="D51" s="1"/>
      <c r="E51" s="1"/>
      <c r="F51" s="1"/>
      <c r="G51" s="1"/>
      <c r="H51" s="1"/>
      <c r="I51" s="1"/>
      <c r="J51" s="1"/>
      <c r="K51" s="1"/>
      <c r="L51" s="1"/>
      <c r="M51" s="1"/>
      <c r="N51" s="1"/>
      <c r="O51" s="99"/>
      <c r="P51" s="1"/>
      <c r="Q51" s="1"/>
      <c r="R51" s="1"/>
      <c r="S51" s="1"/>
      <c r="T51" s="1"/>
      <c r="U51" s="1"/>
      <c r="V51" s="1"/>
      <c r="W51" s="1"/>
      <c r="X51" s="1"/>
      <c r="Y51" s="1"/>
      <c r="Z51" s="1"/>
    </row>
    <row r="52" ht="12.75" customHeight="1">
      <c r="A52" s="91"/>
      <c r="B52" s="1"/>
      <c r="C52" s="1"/>
      <c r="D52" s="1"/>
      <c r="E52" s="1"/>
      <c r="F52" s="1"/>
      <c r="G52" s="1"/>
      <c r="H52" s="1"/>
      <c r="I52" s="1"/>
      <c r="J52" s="1"/>
      <c r="K52" s="1"/>
      <c r="L52" s="1"/>
      <c r="M52" s="1"/>
      <c r="N52" s="1"/>
      <c r="O52" s="99"/>
      <c r="P52" s="1"/>
      <c r="Q52" s="1"/>
      <c r="R52" s="1"/>
      <c r="S52" s="1"/>
      <c r="T52" s="1"/>
      <c r="U52" s="1"/>
      <c r="V52" s="1"/>
      <c r="W52" s="1"/>
      <c r="X52" s="1"/>
      <c r="Y52" s="1"/>
      <c r="Z52" s="1"/>
    </row>
    <row r="53" ht="12.75" customHeight="1">
      <c r="A53" s="21"/>
      <c r="B53" s="58"/>
      <c r="C53" s="58"/>
      <c r="D53" s="58"/>
      <c r="E53" s="58"/>
      <c r="F53" s="58"/>
      <c r="G53" s="58"/>
      <c r="H53" s="58"/>
      <c r="I53" s="58"/>
      <c r="J53" s="58"/>
      <c r="K53" s="58"/>
      <c r="L53" s="58"/>
      <c r="M53" s="58"/>
      <c r="N53" s="58"/>
      <c r="O53" s="86"/>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L5:O5"/>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38"/>
    <col customWidth="1" min="3" max="3" width="23.25"/>
    <col customWidth="1" min="4" max="4" width="24.75"/>
    <col customWidth="1" min="5" max="5" width="12.88"/>
    <col customWidth="1" min="7" max="7" width="31.88"/>
    <col customWidth="1" min="8" max="8" width="27.25"/>
    <col customWidth="1" min="9" max="9" width="14.88"/>
  </cols>
  <sheetData>
    <row r="2">
      <c r="A2" s="101" t="s">
        <v>93</v>
      </c>
      <c r="B2" s="102"/>
      <c r="C2" s="102"/>
      <c r="D2" s="102"/>
      <c r="E2" s="102"/>
      <c r="G2" s="101" t="s">
        <v>94</v>
      </c>
      <c r="H2" s="102"/>
    </row>
    <row r="3">
      <c r="A3" s="103" t="s">
        <v>95</v>
      </c>
      <c r="B3" s="104" t="s">
        <v>96</v>
      </c>
      <c r="C3" s="104" t="s">
        <v>97</v>
      </c>
      <c r="D3" s="104" t="s">
        <v>98</v>
      </c>
      <c r="E3" s="104" t="s">
        <v>99</v>
      </c>
      <c r="G3" s="103" t="s">
        <v>100</v>
      </c>
      <c r="H3" s="104" t="s">
        <v>101</v>
      </c>
    </row>
    <row r="4">
      <c r="A4" s="105" t="s">
        <v>102</v>
      </c>
      <c r="B4" s="106" t="s">
        <v>103</v>
      </c>
      <c r="C4" s="106" t="s">
        <v>104</v>
      </c>
      <c r="D4" s="106" t="s">
        <v>105</v>
      </c>
      <c r="E4" s="106" t="s">
        <v>106</v>
      </c>
      <c r="G4" s="105" t="s">
        <v>107</v>
      </c>
      <c r="H4" s="107" t="s">
        <v>108</v>
      </c>
    </row>
    <row r="5">
      <c r="A5" s="105" t="s">
        <v>109</v>
      </c>
      <c r="B5" s="106" t="s">
        <v>110</v>
      </c>
      <c r="C5" s="106" t="s">
        <v>111</v>
      </c>
      <c r="D5" s="106" t="s">
        <v>112</v>
      </c>
      <c r="E5" s="106" t="s">
        <v>113</v>
      </c>
      <c r="G5" s="105" t="s">
        <v>114</v>
      </c>
      <c r="H5" s="107" t="s">
        <v>115</v>
      </c>
    </row>
    <row r="6">
      <c r="A6" s="105" t="s">
        <v>116</v>
      </c>
      <c r="B6" s="106" t="s">
        <v>117</v>
      </c>
      <c r="C6" s="106" t="s">
        <v>118</v>
      </c>
      <c r="D6" s="106" t="s">
        <v>105</v>
      </c>
      <c r="E6" s="106" t="s">
        <v>119</v>
      </c>
      <c r="G6" s="105" t="s">
        <v>120</v>
      </c>
      <c r="H6" s="108" t="s">
        <v>121</v>
      </c>
      <c r="I6" s="109" t="s">
        <v>122</v>
      </c>
      <c r="J6" s="109" t="s">
        <v>123</v>
      </c>
    </row>
    <row r="7">
      <c r="A7" s="105" t="s">
        <v>124</v>
      </c>
      <c r="B7" s="106" t="s">
        <v>125</v>
      </c>
      <c r="C7" s="106" t="s">
        <v>126</v>
      </c>
      <c r="D7" s="106" t="s">
        <v>113</v>
      </c>
      <c r="E7" s="106" t="s">
        <v>106</v>
      </c>
      <c r="G7" s="105" t="s">
        <v>127</v>
      </c>
      <c r="H7" s="107" t="s">
        <v>128</v>
      </c>
    </row>
    <row r="8">
      <c r="A8" s="105" t="s">
        <v>129</v>
      </c>
      <c r="B8" s="106" t="s">
        <v>103</v>
      </c>
      <c r="C8" s="106" t="s">
        <v>130</v>
      </c>
      <c r="D8" s="106" t="s">
        <v>131</v>
      </c>
      <c r="E8" s="106" t="s">
        <v>132</v>
      </c>
      <c r="G8" s="105" t="s">
        <v>133</v>
      </c>
      <c r="H8" s="107" t="s">
        <v>134</v>
      </c>
    </row>
    <row r="9">
      <c r="A9" s="105" t="s">
        <v>135</v>
      </c>
      <c r="B9" s="106" t="s">
        <v>103</v>
      </c>
      <c r="C9" s="106" t="s">
        <v>130</v>
      </c>
      <c r="D9" s="106" t="s">
        <v>132</v>
      </c>
      <c r="E9" s="106" t="s">
        <v>136</v>
      </c>
      <c r="G9" s="105" t="s">
        <v>137</v>
      </c>
      <c r="H9" s="107" t="s">
        <v>138</v>
      </c>
    </row>
    <row r="10">
      <c r="A10" s="110" t="s">
        <v>139</v>
      </c>
      <c r="B10" s="111" t="s">
        <v>117</v>
      </c>
      <c r="C10" s="111" t="s">
        <v>132</v>
      </c>
      <c r="D10" s="111" t="s">
        <v>104</v>
      </c>
      <c r="E10" s="111" t="s">
        <v>112</v>
      </c>
      <c r="G10" s="105" t="s">
        <v>140</v>
      </c>
      <c r="H10" s="107" t="s">
        <v>115</v>
      </c>
      <c r="I10" s="112" t="s">
        <v>108</v>
      </c>
      <c r="J10" s="112" t="s">
        <v>141</v>
      </c>
    </row>
    <row r="11">
      <c r="G11" s="105" t="s">
        <v>142</v>
      </c>
      <c r="H11" s="107" t="s">
        <v>143</v>
      </c>
    </row>
    <row r="12">
      <c r="G12" s="105" t="s">
        <v>144</v>
      </c>
      <c r="H12" s="107" t="s">
        <v>145</v>
      </c>
      <c r="I12" s="112" t="s">
        <v>128</v>
      </c>
      <c r="J12" s="112" t="s">
        <v>146</v>
      </c>
    </row>
    <row r="13">
      <c r="B13" s="101" t="s">
        <v>147</v>
      </c>
      <c r="C13" s="102"/>
      <c r="D13" s="102"/>
      <c r="G13" s="105" t="s">
        <v>148</v>
      </c>
      <c r="H13" s="107" t="s">
        <v>128</v>
      </c>
    </row>
    <row r="14">
      <c r="B14" s="103" t="s">
        <v>80</v>
      </c>
      <c r="C14" s="113" t="s">
        <v>149</v>
      </c>
      <c r="D14" s="113" t="s">
        <v>150</v>
      </c>
      <c r="E14" s="109"/>
      <c r="G14" s="105" t="s">
        <v>151</v>
      </c>
      <c r="H14" s="108" t="s">
        <v>152</v>
      </c>
    </row>
    <row r="15">
      <c r="B15" s="105" t="s">
        <v>153</v>
      </c>
      <c r="C15" s="108" t="s">
        <v>154</v>
      </c>
      <c r="D15" s="114" t="s">
        <v>155</v>
      </c>
      <c r="G15" s="105" t="s">
        <v>156</v>
      </c>
      <c r="H15" s="107" t="s">
        <v>157</v>
      </c>
    </row>
    <row r="16">
      <c r="B16" s="105" t="s">
        <v>109</v>
      </c>
      <c r="C16" s="108">
        <v>3.0</v>
      </c>
      <c r="D16" s="108" t="s">
        <v>158</v>
      </c>
      <c r="G16" s="110" t="s">
        <v>159</v>
      </c>
      <c r="H16" s="107" t="s">
        <v>115</v>
      </c>
    </row>
    <row r="17">
      <c r="B17" s="105" t="s">
        <v>116</v>
      </c>
      <c r="C17" s="108">
        <v>4.0</v>
      </c>
      <c r="D17" s="108" t="s">
        <v>160</v>
      </c>
      <c r="G17" s="115" t="s">
        <v>161</v>
      </c>
    </row>
    <row r="18">
      <c r="B18" s="105" t="s">
        <v>124</v>
      </c>
      <c r="C18" s="108">
        <v>5.0</v>
      </c>
      <c r="D18" s="108" t="s">
        <v>162</v>
      </c>
      <c r="G18" s="101" t="s">
        <v>163</v>
      </c>
      <c r="H18" s="102"/>
    </row>
    <row r="19">
      <c r="B19" s="105" t="s">
        <v>164</v>
      </c>
      <c r="C19" s="108" t="s">
        <v>165</v>
      </c>
      <c r="D19" s="108" t="s">
        <v>166</v>
      </c>
      <c r="G19" s="103" t="s">
        <v>100</v>
      </c>
      <c r="H19" s="104" t="s">
        <v>101</v>
      </c>
      <c r="I19" s="112" t="s">
        <v>145</v>
      </c>
      <c r="J19" s="112" t="s">
        <v>128</v>
      </c>
      <c r="K19" s="109" t="s">
        <v>167</v>
      </c>
    </row>
    <row r="20">
      <c r="B20" s="105" t="s">
        <v>135</v>
      </c>
      <c r="C20" s="108" t="s">
        <v>165</v>
      </c>
      <c r="D20" s="108" t="s">
        <v>166</v>
      </c>
      <c r="G20" s="105" t="s">
        <v>168</v>
      </c>
      <c r="H20" s="108">
        <f>+4</f>
        <v>4</v>
      </c>
      <c r="I20" s="112" t="s">
        <v>115</v>
      </c>
      <c r="J20" s="112" t="s">
        <v>143</v>
      </c>
      <c r="K20" s="109" t="s">
        <v>169</v>
      </c>
    </row>
    <row r="21">
      <c r="B21" s="116" t="s">
        <v>170</v>
      </c>
      <c r="C21" s="117"/>
      <c r="D21" s="117"/>
      <c r="G21" s="105" t="s">
        <v>171</v>
      </c>
      <c r="H21" s="107" t="s">
        <v>134</v>
      </c>
    </row>
    <row r="22">
      <c r="G22" s="105" t="s">
        <v>172</v>
      </c>
      <c r="H22" s="107" t="s">
        <v>145</v>
      </c>
    </row>
    <row r="23">
      <c r="B23" s="101" t="s">
        <v>173</v>
      </c>
      <c r="C23" s="102"/>
      <c r="D23" s="102"/>
      <c r="G23" s="105" t="s">
        <v>120</v>
      </c>
      <c r="H23" s="108" t="s">
        <v>121</v>
      </c>
    </row>
    <row r="24">
      <c r="B24" s="103" t="s">
        <v>174</v>
      </c>
      <c r="C24" s="113" t="s">
        <v>175</v>
      </c>
      <c r="D24" s="113" t="s">
        <v>176</v>
      </c>
      <c r="G24" s="105" t="s">
        <v>177</v>
      </c>
      <c r="H24" s="108" t="s">
        <v>152</v>
      </c>
    </row>
    <row r="25">
      <c r="B25" s="105" t="s">
        <v>178</v>
      </c>
      <c r="C25" s="107" t="s">
        <v>108</v>
      </c>
      <c r="D25" s="107" t="s">
        <v>108</v>
      </c>
      <c r="G25" s="105" t="s">
        <v>179</v>
      </c>
      <c r="H25" s="107" t="s">
        <v>180</v>
      </c>
    </row>
    <row r="26">
      <c r="B26" s="105" t="s">
        <v>181</v>
      </c>
      <c r="C26" s="107" t="s">
        <v>143</v>
      </c>
      <c r="D26" s="107" t="s">
        <v>128</v>
      </c>
      <c r="G26" s="105" t="s">
        <v>182</v>
      </c>
      <c r="H26" s="107" t="s">
        <v>183</v>
      </c>
    </row>
    <row r="27">
      <c r="B27" s="105" t="s">
        <v>184</v>
      </c>
      <c r="C27" s="107" t="s">
        <v>128</v>
      </c>
      <c r="D27" s="108">
        <v>0.0</v>
      </c>
      <c r="G27" s="110" t="s">
        <v>185</v>
      </c>
      <c r="H27" s="107" t="s">
        <v>186</v>
      </c>
    </row>
    <row r="28">
      <c r="B28" s="105" t="s">
        <v>187</v>
      </c>
      <c r="C28" s="107" t="s">
        <v>128</v>
      </c>
      <c r="D28" s="107" t="s">
        <v>128</v>
      </c>
      <c r="G28" s="105" t="s">
        <v>188</v>
      </c>
      <c r="H28" s="107" t="s">
        <v>134</v>
      </c>
    </row>
    <row r="29">
      <c r="B29" s="105" t="s">
        <v>189</v>
      </c>
      <c r="C29" s="107" t="s">
        <v>128</v>
      </c>
      <c r="D29" s="108">
        <v>0.0</v>
      </c>
      <c r="G29" s="105" t="s">
        <v>190</v>
      </c>
      <c r="H29" s="107" t="s">
        <v>191</v>
      </c>
    </row>
    <row r="30">
      <c r="B30" s="105" t="s">
        <v>192</v>
      </c>
      <c r="C30" s="107" t="s">
        <v>115</v>
      </c>
      <c r="D30" s="107" t="s">
        <v>128</v>
      </c>
      <c r="G30" s="118" t="s">
        <v>193</v>
      </c>
      <c r="H30" s="117"/>
    </row>
    <row r="31">
      <c r="B31" s="105" t="s">
        <v>194</v>
      </c>
      <c r="C31" s="107" t="s">
        <v>143</v>
      </c>
      <c r="D31" s="107" t="s">
        <v>115</v>
      </c>
      <c r="G31" s="119" t="s">
        <v>195</v>
      </c>
    </row>
    <row r="32">
      <c r="B32" s="120" t="s">
        <v>196</v>
      </c>
      <c r="C32" s="117"/>
      <c r="D32" s="117"/>
      <c r="G32" s="119" t="s">
        <v>197</v>
      </c>
    </row>
    <row r="34">
      <c r="A34" s="101" t="s">
        <v>198</v>
      </c>
      <c r="B34" s="102"/>
      <c r="C34" s="102"/>
      <c r="D34" s="102"/>
      <c r="G34" s="101" t="s">
        <v>199</v>
      </c>
      <c r="H34" s="102"/>
      <c r="I34" s="102"/>
    </row>
    <row r="35">
      <c r="A35" s="103" t="s">
        <v>200</v>
      </c>
      <c r="B35" s="104" t="s">
        <v>201</v>
      </c>
      <c r="C35" s="104" t="s">
        <v>202</v>
      </c>
      <c r="D35" s="104" t="s">
        <v>203</v>
      </c>
      <c r="G35" s="103" t="s">
        <v>174</v>
      </c>
      <c r="H35" s="121"/>
      <c r="I35" s="104" t="s">
        <v>101</v>
      </c>
    </row>
    <row r="36">
      <c r="A36" s="105" t="s">
        <v>5</v>
      </c>
      <c r="B36" s="107" t="s">
        <v>145</v>
      </c>
      <c r="C36" s="107" t="s">
        <v>134</v>
      </c>
      <c r="D36" s="108" t="s">
        <v>204</v>
      </c>
      <c r="G36" s="122" t="s">
        <v>205</v>
      </c>
      <c r="H36" s="121"/>
      <c r="I36" s="107" t="s">
        <v>134</v>
      </c>
    </row>
    <row r="37">
      <c r="A37" s="105" t="s">
        <v>6</v>
      </c>
      <c r="B37" s="107" t="s">
        <v>128</v>
      </c>
      <c r="C37" s="107" t="s">
        <v>191</v>
      </c>
      <c r="D37" s="123">
        <v>0.25</v>
      </c>
      <c r="G37" s="122" t="s">
        <v>206</v>
      </c>
      <c r="H37" s="121"/>
      <c r="I37" s="108" t="s">
        <v>207</v>
      </c>
    </row>
    <row r="38">
      <c r="A38" s="105" t="s">
        <v>7</v>
      </c>
      <c r="B38" s="107" t="s">
        <v>146</v>
      </c>
      <c r="C38" s="107" t="s">
        <v>208</v>
      </c>
      <c r="D38" s="123">
        <v>0.5</v>
      </c>
      <c r="G38" s="122" t="s">
        <v>209</v>
      </c>
      <c r="H38" s="121"/>
      <c r="I38" s="121"/>
    </row>
    <row r="39">
      <c r="G39" s="124"/>
      <c r="H39" s="106" t="s">
        <v>210</v>
      </c>
      <c r="I39" s="107" t="s">
        <v>128</v>
      </c>
    </row>
    <row r="40">
      <c r="C40" s="101" t="s">
        <v>211</v>
      </c>
      <c r="D40" s="102"/>
      <c r="G40" s="124"/>
      <c r="H40" s="106" t="s">
        <v>212</v>
      </c>
      <c r="I40" s="107" t="s">
        <v>115</v>
      </c>
    </row>
    <row r="41">
      <c r="C41" s="103" t="s">
        <v>213</v>
      </c>
      <c r="D41" s="104" t="s">
        <v>214</v>
      </c>
      <c r="G41" s="122" t="s">
        <v>215</v>
      </c>
      <c r="H41" s="121"/>
      <c r="I41" s="121"/>
    </row>
    <row r="42">
      <c r="C42" s="125">
        <v>10.0</v>
      </c>
      <c r="D42" s="108" t="s">
        <v>216</v>
      </c>
      <c r="G42" s="124"/>
      <c r="H42" s="106" t="s">
        <v>217</v>
      </c>
      <c r="I42" s="107" t="s">
        <v>134</v>
      </c>
    </row>
    <row r="43">
      <c r="C43" s="126">
        <v>45626.0</v>
      </c>
      <c r="D43" s="108" t="s">
        <v>218</v>
      </c>
      <c r="G43" s="124"/>
      <c r="H43" s="106" t="s">
        <v>219</v>
      </c>
      <c r="I43" s="108">
        <v>0.0</v>
      </c>
    </row>
    <row r="44">
      <c r="C44" s="122" t="s">
        <v>220</v>
      </c>
      <c r="D44" s="108" t="s">
        <v>221</v>
      </c>
      <c r="G44" s="124"/>
      <c r="H44" s="106" t="s">
        <v>222</v>
      </c>
      <c r="I44" s="107" t="s">
        <v>145</v>
      </c>
    </row>
    <row r="45">
      <c r="C45" s="122" t="s">
        <v>223</v>
      </c>
      <c r="D45" s="108" t="s">
        <v>224</v>
      </c>
      <c r="G45" s="124"/>
      <c r="H45" s="106" t="s">
        <v>225</v>
      </c>
      <c r="I45" s="107" t="s">
        <v>146</v>
      </c>
    </row>
    <row r="46">
      <c r="G46" s="122" t="s">
        <v>226</v>
      </c>
      <c r="H46" s="121"/>
      <c r="I46" s="107" t="s">
        <v>227</v>
      </c>
    </row>
    <row r="48">
      <c r="A48" s="127" t="s">
        <v>228</v>
      </c>
      <c r="G48" s="101" t="s">
        <v>229</v>
      </c>
      <c r="H48" s="102"/>
      <c r="I48" s="102"/>
    </row>
    <row r="49">
      <c r="A49" s="128" t="s">
        <v>214</v>
      </c>
      <c r="B49" s="128" t="s">
        <v>230</v>
      </c>
      <c r="C49" s="128" t="s">
        <v>231</v>
      </c>
      <c r="D49" s="128" t="s">
        <v>232</v>
      </c>
      <c r="G49" s="103" t="s">
        <v>174</v>
      </c>
      <c r="H49" s="121"/>
      <c r="I49" s="104" t="s">
        <v>101</v>
      </c>
    </row>
    <row r="50">
      <c r="A50" s="129" t="s">
        <v>8</v>
      </c>
      <c r="B50" s="130" t="s">
        <v>233</v>
      </c>
      <c r="C50" s="130">
        <v>10.0</v>
      </c>
      <c r="D50" s="130" t="s">
        <v>234</v>
      </c>
      <c r="G50" s="122" t="s">
        <v>235</v>
      </c>
      <c r="H50" s="121"/>
      <c r="I50" s="107" t="s">
        <v>236</v>
      </c>
    </row>
    <row r="51">
      <c r="A51" s="129" t="s">
        <v>7</v>
      </c>
      <c r="B51" s="130" t="s">
        <v>237</v>
      </c>
      <c r="C51" s="130">
        <v>8.0</v>
      </c>
      <c r="D51" s="130" t="s">
        <v>238</v>
      </c>
      <c r="G51" s="122" t="s">
        <v>239</v>
      </c>
      <c r="H51" s="121"/>
      <c r="I51" s="107" t="s">
        <v>236</v>
      </c>
    </row>
    <row r="52">
      <c r="A52" s="129" t="s">
        <v>6</v>
      </c>
      <c r="B52" s="130" t="s">
        <v>240</v>
      </c>
      <c r="C52" s="130">
        <v>6.0</v>
      </c>
      <c r="D52" s="130" t="s">
        <v>241</v>
      </c>
      <c r="G52" s="122" t="s">
        <v>215</v>
      </c>
      <c r="H52" s="121"/>
      <c r="I52" s="121"/>
    </row>
    <row r="53">
      <c r="A53" s="129" t="s">
        <v>5</v>
      </c>
      <c r="B53" s="130" t="s">
        <v>242</v>
      </c>
      <c r="C53" s="130" t="s">
        <v>243</v>
      </c>
      <c r="D53" s="130" t="s">
        <v>241</v>
      </c>
      <c r="G53" s="131"/>
      <c r="H53" s="132" t="s">
        <v>217</v>
      </c>
      <c r="I53" s="107" t="s">
        <v>134</v>
      </c>
    </row>
    <row r="54">
      <c r="A54" s="115" t="s">
        <v>244</v>
      </c>
      <c r="G54" s="131"/>
      <c r="H54" s="132" t="s">
        <v>219</v>
      </c>
      <c r="I54" s="108">
        <v>0.0</v>
      </c>
    </row>
    <row r="55">
      <c r="G55" s="131"/>
      <c r="H55" s="132" t="s">
        <v>222</v>
      </c>
      <c r="I55" s="107" t="s">
        <v>145</v>
      </c>
    </row>
    <row r="56">
      <c r="G56" s="131"/>
      <c r="H56" s="132" t="s">
        <v>225</v>
      </c>
      <c r="I56" s="107" t="s">
        <v>146</v>
      </c>
    </row>
    <row r="57">
      <c r="C57" s="133" t="s">
        <v>245</v>
      </c>
      <c r="D57" s="102"/>
      <c r="G57" s="122" t="s">
        <v>246</v>
      </c>
      <c r="H57" s="134"/>
      <c r="I57" s="121"/>
    </row>
    <row r="58">
      <c r="C58" s="135" t="s">
        <v>247</v>
      </c>
      <c r="D58" s="136" t="s">
        <v>248</v>
      </c>
      <c r="G58" s="131"/>
      <c r="H58" s="137">
        <v>45301.0</v>
      </c>
      <c r="I58" s="108">
        <v>0.0</v>
      </c>
    </row>
    <row r="59">
      <c r="C59" s="138">
        <v>45293.0</v>
      </c>
      <c r="D59" s="108" t="s">
        <v>216</v>
      </c>
      <c r="G59" s="131"/>
      <c r="H59" s="137">
        <v>45626.0</v>
      </c>
      <c r="I59" s="107" t="s">
        <v>145</v>
      </c>
    </row>
    <row r="60">
      <c r="C60" s="139">
        <v>45357.0</v>
      </c>
      <c r="D60" s="108" t="s">
        <v>218</v>
      </c>
      <c r="G60" s="131"/>
      <c r="H60" s="132" t="s">
        <v>220</v>
      </c>
      <c r="I60" s="107" t="s">
        <v>128</v>
      </c>
    </row>
    <row r="61">
      <c r="C61" s="139">
        <v>45493.0</v>
      </c>
      <c r="D61" s="108" t="s">
        <v>221</v>
      </c>
      <c r="G61" s="131"/>
      <c r="H61" s="132" t="s">
        <v>223</v>
      </c>
      <c r="I61" s="107" t="s">
        <v>146</v>
      </c>
    </row>
    <row r="62">
      <c r="C62" s="140" t="s">
        <v>249</v>
      </c>
      <c r="D62" s="114" t="s">
        <v>250</v>
      </c>
    </row>
    <row r="63">
      <c r="C63" s="115" t="s">
        <v>251</v>
      </c>
    </row>
    <row r="64">
      <c r="C64" s="115" t="s">
        <v>252</v>
      </c>
    </row>
  </sheetData>
  <mergeCells count="11">
    <mergeCell ref="C40:D40"/>
    <mergeCell ref="A48:D48"/>
    <mergeCell ref="G48:I48"/>
    <mergeCell ref="C57:D57"/>
    <mergeCell ref="A2:E2"/>
    <mergeCell ref="G2:H2"/>
    <mergeCell ref="B13:D13"/>
    <mergeCell ref="G18:H18"/>
    <mergeCell ref="B23:D23"/>
    <mergeCell ref="A34:D34"/>
    <mergeCell ref="G34:I3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7.63"/>
    <col customWidth="1" min="2" max="2" width="8.88"/>
    <col customWidth="1" min="3" max="4" width="7.63"/>
    <col customWidth="1" min="5" max="5" width="12.25"/>
    <col customWidth="1" min="6" max="8" width="7.63"/>
    <col customWidth="1" min="9" max="9" width="10.38"/>
    <col customWidth="1" min="10" max="26" width="7.63"/>
  </cols>
  <sheetData>
    <row r="3">
      <c r="A3" s="141" t="s">
        <v>253</v>
      </c>
    </row>
    <row r="5">
      <c r="A5" s="142" t="s">
        <v>254</v>
      </c>
      <c r="D5" s="142" t="s">
        <v>255</v>
      </c>
      <c r="G5" s="142" t="s">
        <v>256</v>
      </c>
    </row>
    <row r="7">
      <c r="A7" s="143" t="s">
        <v>257</v>
      </c>
      <c r="D7" s="143" t="s">
        <v>258</v>
      </c>
      <c r="G7" s="143" t="s">
        <v>259</v>
      </c>
    </row>
    <row r="8">
      <c r="A8" s="143" t="s">
        <v>260</v>
      </c>
      <c r="D8" s="143" t="s">
        <v>261</v>
      </c>
      <c r="G8" s="143" t="s">
        <v>262</v>
      </c>
    </row>
    <row r="9">
      <c r="A9" s="143" t="s">
        <v>263</v>
      </c>
      <c r="D9" s="143" t="s">
        <v>264</v>
      </c>
      <c r="G9" s="143" t="s">
        <v>265</v>
      </c>
    </row>
    <row r="10">
      <c r="A10" s="143" t="s">
        <v>266</v>
      </c>
      <c r="D10" s="143" t="s">
        <v>267</v>
      </c>
      <c r="G10" s="143" t="s">
        <v>268</v>
      </c>
    </row>
    <row r="11">
      <c r="A11" s="143" t="s">
        <v>269</v>
      </c>
      <c r="D11" s="143" t="s">
        <v>270</v>
      </c>
      <c r="G11" s="143" t="s">
        <v>271</v>
      </c>
    </row>
    <row r="12">
      <c r="A12" s="143" t="s">
        <v>272</v>
      </c>
      <c r="D12" s="143" t="s">
        <v>273</v>
      </c>
      <c r="G12" s="143" t="s">
        <v>274</v>
      </c>
    </row>
    <row r="13">
      <c r="A13" s="143" t="s">
        <v>275</v>
      </c>
      <c r="D13" s="143" t="s">
        <v>276</v>
      </c>
      <c r="G13" s="143" t="s">
        <v>277</v>
      </c>
    </row>
    <row r="14">
      <c r="A14" s="143" t="s">
        <v>278</v>
      </c>
      <c r="D14" s="143" t="s">
        <v>279</v>
      </c>
      <c r="G14" s="143" t="s">
        <v>280</v>
      </c>
    </row>
    <row r="15">
      <c r="A15" s="143" t="s">
        <v>281</v>
      </c>
      <c r="D15" s="143" t="s">
        <v>282</v>
      </c>
      <c r="G15" s="143" t="s">
        <v>283</v>
      </c>
    </row>
    <row r="16">
      <c r="A16" s="143" t="s">
        <v>284</v>
      </c>
      <c r="D16" s="143" t="s">
        <v>285</v>
      </c>
      <c r="G16" s="143" t="s">
        <v>286</v>
      </c>
    </row>
    <row r="17">
      <c r="A17" s="143" t="s">
        <v>287</v>
      </c>
      <c r="D17" s="143" t="s">
        <v>288</v>
      </c>
      <c r="G17" s="143" t="s">
        <v>289</v>
      </c>
    </row>
    <row r="18">
      <c r="D18" s="143" t="s">
        <v>290</v>
      </c>
      <c r="G18" s="143" t="s">
        <v>291</v>
      </c>
    </row>
    <row r="19">
      <c r="D19" s="143" t="s">
        <v>292</v>
      </c>
      <c r="G19" s="143" t="s">
        <v>293</v>
      </c>
    </row>
    <row r="20">
      <c r="G20" s="109" t="s">
        <v>294</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3:I3"/>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2" width="7.63"/>
    <col customWidth="1" min="13" max="13" width="40.38"/>
    <col customWidth="1" min="14" max="14" width="39.13"/>
    <col customWidth="1" min="15" max="26" width="7.63"/>
  </cols>
  <sheetData>
    <row r="3">
      <c r="A3" s="144" t="s">
        <v>295</v>
      </c>
      <c r="M3" s="145" t="s">
        <v>296</v>
      </c>
      <c r="N3" s="146"/>
      <c r="O3" s="142"/>
      <c r="P3" s="142"/>
      <c r="Q3" s="142"/>
      <c r="R3" s="142"/>
      <c r="S3" s="142"/>
      <c r="T3" s="142"/>
      <c r="U3" s="142"/>
      <c r="V3" s="142"/>
    </row>
    <row r="4">
      <c r="M4" s="147" t="s">
        <v>297</v>
      </c>
      <c r="N4" s="147" t="s">
        <v>298</v>
      </c>
    </row>
    <row r="5" ht="15.0" customHeight="1">
      <c r="A5" s="148" t="s">
        <v>299</v>
      </c>
      <c r="M5" s="149" t="s">
        <v>300</v>
      </c>
      <c r="N5" s="149" t="s">
        <v>301</v>
      </c>
    </row>
    <row r="6">
      <c r="M6" s="149" t="s">
        <v>302</v>
      </c>
      <c r="N6" s="149" t="s">
        <v>303</v>
      </c>
    </row>
    <row r="7">
      <c r="M7" s="149" t="s">
        <v>304</v>
      </c>
      <c r="N7" s="149" t="s">
        <v>305</v>
      </c>
    </row>
    <row r="8">
      <c r="M8" s="150"/>
      <c r="N8" s="150"/>
    </row>
    <row r="9">
      <c r="M9" s="150"/>
      <c r="N9" s="150"/>
    </row>
    <row r="10">
      <c r="M10" s="145" t="s">
        <v>306</v>
      </c>
      <c r="N10" s="146"/>
    </row>
    <row r="11">
      <c r="M11" s="147" t="s">
        <v>307</v>
      </c>
      <c r="N11" s="147" t="s">
        <v>47</v>
      </c>
    </row>
    <row r="12">
      <c r="M12" s="149" t="s">
        <v>308</v>
      </c>
      <c r="N12" s="151">
        <v>2.0</v>
      </c>
    </row>
    <row r="13">
      <c r="A13" s="148" t="s">
        <v>309</v>
      </c>
      <c r="M13" s="149" t="s">
        <v>310</v>
      </c>
      <c r="N13" s="151">
        <v>3.0</v>
      </c>
    </row>
    <row r="14">
      <c r="M14" s="149" t="s">
        <v>311</v>
      </c>
      <c r="N14" s="151">
        <v>6.0</v>
      </c>
    </row>
    <row r="15">
      <c r="M15" s="149" t="s">
        <v>312</v>
      </c>
      <c r="N15" s="151">
        <v>12.0</v>
      </c>
    </row>
    <row r="16">
      <c r="A16" s="148" t="s">
        <v>313</v>
      </c>
    </row>
    <row r="19">
      <c r="M19" s="152" t="s">
        <v>314</v>
      </c>
      <c r="N19" s="146"/>
    </row>
    <row r="20">
      <c r="M20" s="153" t="s">
        <v>315</v>
      </c>
      <c r="N20" s="153" t="s">
        <v>316</v>
      </c>
    </row>
    <row r="21">
      <c r="A21" s="144" t="s">
        <v>317</v>
      </c>
      <c r="M21" s="154" t="s">
        <v>318</v>
      </c>
      <c r="N21" s="149"/>
    </row>
    <row r="22">
      <c r="M22" s="154" t="s">
        <v>319</v>
      </c>
      <c r="N22" s="155" t="s">
        <v>320</v>
      </c>
    </row>
    <row r="23">
      <c r="A23" s="148" t="s">
        <v>321</v>
      </c>
      <c r="M23" s="154" t="s">
        <v>322</v>
      </c>
      <c r="N23" s="149"/>
    </row>
    <row r="24">
      <c r="M24" s="154" t="s">
        <v>323</v>
      </c>
      <c r="N24" s="155" t="s">
        <v>324</v>
      </c>
    </row>
    <row r="25">
      <c r="M25" s="154" t="s">
        <v>325</v>
      </c>
      <c r="N25" s="149"/>
    </row>
    <row r="26">
      <c r="M26" s="154" t="s">
        <v>326</v>
      </c>
      <c r="N26" s="155" t="s">
        <v>327</v>
      </c>
    </row>
    <row r="27">
      <c r="M27" s="154" t="s">
        <v>328</v>
      </c>
      <c r="N27" s="149"/>
    </row>
    <row r="28">
      <c r="M28" s="154" t="s">
        <v>329</v>
      </c>
      <c r="N28" s="155" t="s">
        <v>330</v>
      </c>
    </row>
    <row r="29">
      <c r="A29" s="144" t="s">
        <v>331</v>
      </c>
    </row>
    <row r="30"/>
    <row r="31">
      <c r="A31" s="148" t="s">
        <v>332</v>
      </c>
    </row>
    <row r="32"/>
    <row r="33"/>
    <row r="34"/>
    <row r="35"/>
    <row r="36">
      <c r="A36" s="148" t="s">
        <v>333</v>
      </c>
    </row>
    <row r="37"/>
    <row r="38"/>
    <row r="39">
      <c r="A39" s="148" t="s">
        <v>334</v>
      </c>
    </row>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3">
    <mergeCell ref="A21:J21"/>
    <mergeCell ref="A23:J26"/>
    <mergeCell ref="A29:J29"/>
    <mergeCell ref="A31:J34"/>
    <mergeCell ref="A36:J37"/>
    <mergeCell ref="A39:J40"/>
    <mergeCell ref="A3:J3"/>
    <mergeCell ref="M3:N3"/>
    <mergeCell ref="A5:J11"/>
    <mergeCell ref="M10:N10"/>
    <mergeCell ref="A13:J14"/>
    <mergeCell ref="A16:J18"/>
    <mergeCell ref="M19:N19"/>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25"/>
    <col customWidth="1" min="3" max="3" width="20.38"/>
  </cols>
  <sheetData>
    <row r="3">
      <c r="A3" s="156" t="s">
        <v>335</v>
      </c>
    </row>
    <row r="5">
      <c r="A5" s="157" t="s">
        <v>336</v>
      </c>
      <c r="B5" s="157" t="s">
        <v>337</v>
      </c>
      <c r="C5" s="158"/>
    </row>
    <row r="6">
      <c r="A6" s="159" t="s">
        <v>338</v>
      </c>
      <c r="B6" s="159" t="s">
        <v>339</v>
      </c>
      <c r="C6" s="158"/>
    </row>
    <row r="7">
      <c r="A7" s="159" t="s">
        <v>340</v>
      </c>
      <c r="B7" s="159" t="s">
        <v>341</v>
      </c>
      <c r="C7" s="158"/>
    </row>
    <row r="8">
      <c r="A8" s="160" t="s">
        <v>342</v>
      </c>
      <c r="C8" s="158"/>
    </row>
    <row r="9">
      <c r="A9" s="158"/>
      <c r="B9" s="158"/>
      <c r="C9" s="158"/>
    </row>
    <row r="10">
      <c r="A10" s="158"/>
      <c r="B10" s="158"/>
      <c r="C10" s="158"/>
    </row>
    <row r="11">
      <c r="A11" s="158"/>
      <c r="B11" s="158"/>
      <c r="C11" s="158"/>
    </row>
    <row r="12">
      <c r="A12" s="158"/>
      <c r="B12" s="158"/>
      <c r="C12" s="158"/>
    </row>
    <row r="13">
      <c r="A13" s="156" t="s">
        <v>343</v>
      </c>
    </row>
    <row r="14">
      <c r="A14" s="158"/>
      <c r="B14" s="158"/>
      <c r="C14" s="158"/>
    </row>
    <row r="15">
      <c r="A15" s="161" t="s">
        <v>344</v>
      </c>
      <c r="B15" s="157" t="s">
        <v>345</v>
      </c>
      <c r="C15" s="157" t="s">
        <v>346</v>
      </c>
    </row>
    <row r="16">
      <c r="A16" s="119" t="s">
        <v>347</v>
      </c>
      <c r="B16" s="162"/>
      <c r="C16" s="162"/>
    </row>
    <row r="17">
      <c r="A17" s="163" t="s">
        <v>348</v>
      </c>
      <c r="B17" s="159">
        <v>1.5</v>
      </c>
      <c r="C17" s="159">
        <v>1.0</v>
      </c>
    </row>
    <row r="18">
      <c r="A18" s="163" t="s">
        <v>349</v>
      </c>
      <c r="B18" s="159">
        <v>2.0</v>
      </c>
      <c r="C18" s="159">
        <v>1.5</v>
      </c>
    </row>
    <row r="19">
      <c r="A19" s="163" t="s">
        <v>350</v>
      </c>
      <c r="B19" s="159">
        <v>2.5</v>
      </c>
      <c r="C19" s="159">
        <v>2.0</v>
      </c>
    </row>
    <row r="20">
      <c r="A20" s="158"/>
      <c r="B20" s="164"/>
      <c r="C20" s="164"/>
    </row>
    <row r="21">
      <c r="A21" s="161" t="s">
        <v>351</v>
      </c>
      <c r="B21" s="164"/>
      <c r="C21" s="164"/>
    </row>
    <row r="22">
      <c r="A22" s="163" t="s">
        <v>347</v>
      </c>
      <c r="B22" s="162"/>
      <c r="C22" s="162"/>
    </row>
    <row r="23">
      <c r="A23" s="163" t="s">
        <v>348</v>
      </c>
      <c r="B23" s="165">
        <v>0.5</v>
      </c>
      <c r="C23" s="165">
        <v>0.5</v>
      </c>
    </row>
    <row r="24">
      <c r="A24" s="163" t="s">
        <v>349</v>
      </c>
      <c r="B24" s="165">
        <v>1.0</v>
      </c>
      <c r="C24" s="165">
        <v>1.0</v>
      </c>
    </row>
    <row r="25">
      <c r="A25" s="163" t="s">
        <v>350</v>
      </c>
      <c r="B25" s="165">
        <v>1.5</v>
      </c>
      <c r="C25" s="165">
        <v>1.5</v>
      </c>
    </row>
    <row r="26">
      <c r="A26" s="160" t="s">
        <v>342</v>
      </c>
    </row>
  </sheetData>
  <mergeCells count="4">
    <mergeCell ref="A3:B3"/>
    <mergeCell ref="A8:B8"/>
    <mergeCell ref="A13:C13"/>
    <mergeCell ref="A26:B2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5"/>
    <col customWidth="1" min="3" max="3" width="37.75"/>
    <col customWidth="1" min="4" max="4" width="10.88"/>
    <col customWidth="1" min="5" max="5" width="18.25"/>
    <col customWidth="1" min="6" max="6" width="4.63"/>
    <col customWidth="1" min="7" max="7" width="8.5"/>
  </cols>
  <sheetData>
    <row r="3">
      <c r="B3" s="166" t="s">
        <v>352</v>
      </c>
      <c r="C3" s="166" t="s">
        <v>353</v>
      </c>
      <c r="D3" s="166" t="s">
        <v>24</v>
      </c>
      <c r="E3" s="166" t="s">
        <v>21</v>
      </c>
      <c r="F3" s="166" t="s">
        <v>38</v>
      </c>
      <c r="G3" s="166" t="s">
        <v>354</v>
      </c>
    </row>
    <row r="4">
      <c r="B4" s="167" t="s">
        <v>355</v>
      </c>
      <c r="C4" s="168" t="s">
        <v>356</v>
      </c>
      <c r="D4" s="168" t="s">
        <v>357</v>
      </c>
      <c r="E4" s="169" t="s">
        <v>358</v>
      </c>
      <c r="F4" s="169">
        <v>33.0</v>
      </c>
      <c r="G4" s="170">
        <v>5000.0</v>
      </c>
    </row>
    <row r="5">
      <c r="B5" s="167" t="s">
        <v>359</v>
      </c>
      <c r="C5" s="168" t="s">
        <v>360</v>
      </c>
      <c r="D5" s="168" t="s">
        <v>361</v>
      </c>
      <c r="E5" s="169" t="s">
        <v>362</v>
      </c>
      <c r="F5" s="169">
        <v>27.0</v>
      </c>
      <c r="G5" s="170">
        <v>2000.0</v>
      </c>
    </row>
    <row r="6">
      <c r="B6" s="167" t="s">
        <v>363</v>
      </c>
      <c r="C6" s="168" t="s">
        <v>364</v>
      </c>
      <c r="D6" s="171"/>
      <c r="E6" s="169" t="s">
        <v>365</v>
      </c>
      <c r="F6" s="169">
        <v>23.0</v>
      </c>
      <c r="G6" s="169">
        <v>450.0</v>
      </c>
    </row>
    <row r="7">
      <c r="B7" s="167" t="s">
        <v>366</v>
      </c>
      <c r="C7" s="168" t="s">
        <v>367</v>
      </c>
      <c r="D7" s="171"/>
      <c r="E7" s="169" t="s">
        <v>368</v>
      </c>
      <c r="F7" s="169">
        <v>20.0</v>
      </c>
      <c r="G7" s="169">
        <v>100.0</v>
      </c>
    </row>
    <row r="8">
      <c r="B8" s="167" t="s">
        <v>369</v>
      </c>
      <c r="C8" s="168" t="s">
        <v>370</v>
      </c>
      <c r="D8" s="171"/>
      <c r="E8" s="169" t="s">
        <v>371</v>
      </c>
      <c r="F8" s="169">
        <v>18.0</v>
      </c>
      <c r="G8" s="169">
        <v>25.0</v>
      </c>
    </row>
    <row r="13">
      <c r="D13" s="172"/>
    </row>
    <row r="14">
      <c r="C14" s="109" t="s">
        <v>372</v>
      </c>
      <c r="D14" s="173" t="s">
        <v>373</v>
      </c>
      <c r="E14" s="109" t="s">
        <v>374</v>
      </c>
    </row>
    <row r="15">
      <c r="C15" s="109" t="s">
        <v>375</v>
      </c>
      <c r="D15" s="173" t="s">
        <v>376</v>
      </c>
      <c r="E15" s="109" t="s">
        <v>374</v>
      </c>
      <c r="H15" s="109" t="s">
        <v>377</v>
      </c>
    </row>
    <row r="16">
      <c r="C16" s="109" t="s">
        <v>73</v>
      </c>
      <c r="D16" s="173">
        <v>17.0</v>
      </c>
      <c r="E16" s="109" t="s">
        <v>374</v>
      </c>
      <c r="H16" s="109" t="s">
        <v>378</v>
      </c>
    </row>
    <row r="17">
      <c r="H17" s="109" t="s">
        <v>379</v>
      </c>
    </row>
    <row r="18">
      <c r="C18" s="109" t="s">
        <v>380</v>
      </c>
      <c r="D18" s="172">
        <v>125.0</v>
      </c>
      <c r="E18" s="109" t="s">
        <v>381</v>
      </c>
      <c r="H18" s="109" t="s">
        <v>382</v>
      </c>
    </row>
    <row r="19">
      <c r="H19" s="109" t="s">
        <v>383</v>
      </c>
    </row>
    <row r="20">
      <c r="H20" s="109" t="s">
        <v>384</v>
      </c>
    </row>
    <row r="21">
      <c r="H21" s="109" t="s">
        <v>385</v>
      </c>
    </row>
    <row r="22">
      <c r="H22" s="109" t="s">
        <v>386</v>
      </c>
    </row>
    <row r="23">
      <c r="H23" s="109" t="s">
        <v>387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74" t="s">
        <v>388</v>
      </c>
      <c r="C1" s="175"/>
    </row>
    <row r="2">
      <c r="B2" s="175"/>
      <c r="C2" s="175"/>
    </row>
    <row r="3">
      <c r="B3" s="176" t="s">
        <v>389</v>
      </c>
      <c r="C3" s="163" t="s">
        <v>390</v>
      </c>
    </row>
    <row r="4">
      <c r="B4" s="176" t="s">
        <v>391</v>
      </c>
      <c r="C4" s="163" t="s">
        <v>392</v>
      </c>
    </row>
    <row r="5">
      <c r="B5" s="176" t="s">
        <v>393</v>
      </c>
      <c r="C5" s="163" t="s">
        <v>394</v>
      </c>
    </row>
    <row r="6">
      <c r="B6" s="176" t="s">
        <v>395</v>
      </c>
      <c r="C6" s="163" t="s">
        <v>396</v>
      </c>
    </row>
    <row r="7">
      <c r="B7" s="176" t="s">
        <v>397</v>
      </c>
      <c r="C7" s="163" t="s">
        <v>398</v>
      </c>
    </row>
    <row r="8">
      <c r="B8" s="176" t="s">
        <v>399</v>
      </c>
      <c r="C8" s="163" t="s">
        <v>400</v>
      </c>
    </row>
    <row r="9">
      <c r="B9" s="176" t="s">
        <v>401</v>
      </c>
      <c r="C9" s="163" t="s">
        <v>402</v>
      </c>
    </row>
    <row r="10">
      <c r="B10" s="176" t="s">
        <v>403</v>
      </c>
      <c r="C10" s="163" t="s">
        <v>404</v>
      </c>
    </row>
    <row r="11">
      <c r="B11" s="176" t="s">
        <v>405</v>
      </c>
      <c r="C11" s="163" t="s">
        <v>406</v>
      </c>
    </row>
    <row r="12">
      <c r="B12" s="176" t="s">
        <v>407</v>
      </c>
      <c r="C12" s="163" t="s">
        <v>408</v>
      </c>
    </row>
    <row r="13">
      <c r="B13" s="176" t="s">
        <v>409</v>
      </c>
      <c r="C13" s="163" t="s">
        <v>410</v>
      </c>
    </row>
    <row r="14">
      <c r="B14" s="176" t="s">
        <v>411</v>
      </c>
      <c r="C14" s="163" t="s">
        <v>412</v>
      </c>
    </row>
    <row r="15">
      <c r="B15" s="176" t="s">
        <v>413</v>
      </c>
      <c r="C15" s="163" t="s">
        <v>414</v>
      </c>
    </row>
    <row r="16">
      <c r="B16" s="176" t="s">
        <v>415</v>
      </c>
      <c r="C16" s="163" t="s">
        <v>416</v>
      </c>
    </row>
    <row r="17">
      <c r="B17" s="176" t="s">
        <v>417</v>
      </c>
      <c r="C17" s="163" t="s">
        <v>418</v>
      </c>
    </row>
    <row r="18">
      <c r="B18" s="176" t="s">
        <v>419</v>
      </c>
      <c r="C18" s="163" t="s">
        <v>420</v>
      </c>
    </row>
    <row r="19">
      <c r="B19" s="176" t="s">
        <v>421</v>
      </c>
      <c r="C19" s="163" t="s">
        <v>422</v>
      </c>
    </row>
    <row r="20">
      <c r="B20" s="176" t="s">
        <v>423</v>
      </c>
      <c r="C20" s="163" t="s">
        <v>424</v>
      </c>
    </row>
    <row r="21">
      <c r="B21" s="176" t="s">
        <v>425</v>
      </c>
      <c r="C21" s="163" t="s">
        <v>426</v>
      </c>
    </row>
    <row r="22">
      <c r="B22" s="176" t="s">
        <v>427</v>
      </c>
      <c r="C22" s="163" t="s">
        <v>428</v>
      </c>
    </row>
    <row r="23">
      <c r="B23" s="175"/>
      <c r="C23" s="175"/>
    </row>
    <row r="24">
      <c r="B24" s="175"/>
      <c r="C24" s="175"/>
    </row>
    <row r="25">
      <c r="B25" s="175"/>
      <c r="C25" s="175"/>
    </row>
    <row r="26">
      <c r="B26" s="175"/>
      <c r="C26" s="175"/>
    </row>
    <row r="27">
      <c r="B27" s="175"/>
      <c r="C27" s="175"/>
    </row>
    <row r="28">
      <c r="B28" s="175"/>
      <c r="C28" s="175"/>
    </row>
    <row r="29">
      <c r="B29" s="175"/>
      <c r="C29" s="175"/>
    </row>
    <row r="30">
      <c r="B30" s="175"/>
      <c r="C30" s="175"/>
    </row>
    <row r="31">
      <c r="B31" s="175"/>
      <c r="C31" s="175"/>
    </row>
    <row r="32">
      <c r="B32" s="175"/>
      <c r="C32" s="175"/>
    </row>
    <row r="33">
      <c r="B33" s="175"/>
      <c r="C33" s="175"/>
    </row>
    <row r="34">
      <c r="B34" s="175"/>
      <c r="C34" s="175"/>
    </row>
    <row r="35">
      <c r="B35" s="175"/>
      <c r="C35" s="175"/>
    </row>
    <row r="36">
      <c r="B36" s="175"/>
      <c r="C36" s="175"/>
    </row>
    <row r="37">
      <c r="B37" s="175"/>
      <c r="C37" s="175"/>
    </row>
    <row r="38">
      <c r="B38" s="175"/>
      <c r="C38" s="175"/>
    </row>
    <row r="39">
      <c r="B39" s="175"/>
      <c r="C39" s="175"/>
    </row>
    <row r="40">
      <c r="B40" s="175"/>
      <c r="C40" s="175"/>
    </row>
    <row r="41">
      <c r="B41" s="175"/>
      <c r="C41" s="175"/>
    </row>
    <row r="42">
      <c r="B42" s="175"/>
      <c r="C42" s="175"/>
    </row>
    <row r="43">
      <c r="B43" s="175"/>
      <c r="C43" s="175"/>
    </row>
    <row r="44">
      <c r="B44" s="175"/>
      <c r="C44" s="175"/>
    </row>
    <row r="45">
      <c r="B45" s="175"/>
      <c r="C45" s="175"/>
    </row>
    <row r="46">
      <c r="B46" s="175"/>
      <c r="C46" s="175"/>
    </row>
    <row r="47">
      <c r="B47" s="175"/>
      <c r="C47" s="175"/>
    </row>
    <row r="48">
      <c r="B48" s="175"/>
      <c r="C48" s="175"/>
    </row>
    <row r="49">
      <c r="B49" s="175"/>
      <c r="C49" s="175"/>
    </row>
    <row r="50">
      <c r="B50" s="175"/>
      <c r="C50" s="175"/>
    </row>
    <row r="51">
      <c r="B51" s="175"/>
      <c r="C51" s="175"/>
    </row>
    <row r="52">
      <c r="B52" s="175"/>
      <c r="C52" s="175"/>
    </row>
    <row r="53">
      <c r="B53" s="175"/>
      <c r="C53" s="175"/>
    </row>
    <row r="54">
      <c r="B54" s="175"/>
      <c r="C54" s="175"/>
    </row>
    <row r="55">
      <c r="B55" s="175"/>
      <c r="C55" s="175"/>
    </row>
    <row r="56">
      <c r="B56" s="175"/>
      <c r="C56" s="175"/>
    </row>
    <row r="57">
      <c r="B57" s="175"/>
      <c r="C57" s="175"/>
    </row>
    <row r="58">
      <c r="B58" s="175"/>
      <c r="C58" s="175"/>
    </row>
    <row r="59">
      <c r="B59" s="175"/>
      <c r="C59" s="175"/>
    </row>
    <row r="60">
      <c r="B60" s="175"/>
      <c r="C60" s="175"/>
    </row>
    <row r="61">
      <c r="B61" s="175"/>
      <c r="C61" s="175"/>
    </row>
    <row r="62">
      <c r="B62" s="175"/>
      <c r="C62" s="175"/>
    </row>
    <row r="63">
      <c r="B63" s="175"/>
      <c r="C63" s="175"/>
    </row>
    <row r="64">
      <c r="B64" s="175"/>
      <c r="C64" s="175"/>
    </row>
    <row r="65">
      <c r="B65" s="175"/>
      <c r="C65" s="175"/>
    </row>
    <row r="66">
      <c r="B66" s="175"/>
      <c r="C66" s="175"/>
    </row>
    <row r="67">
      <c r="B67" s="175"/>
      <c r="C67" s="175"/>
    </row>
    <row r="68">
      <c r="B68" s="175"/>
      <c r="C68" s="175"/>
    </row>
    <row r="69">
      <c r="B69" s="175"/>
      <c r="C69" s="175"/>
    </row>
    <row r="70">
      <c r="B70" s="175"/>
      <c r="C70" s="175"/>
    </row>
    <row r="71">
      <c r="B71" s="175"/>
      <c r="C71" s="175"/>
    </row>
    <row r="72">
      <c r="B72" s="175"/>
      <c r="C72" s="175"/>
    </row>
    <row r="73">
      <c r="B73" s="175"/>
      <c r="C73" s="175"/>
    </row>
    <row r="74">
      <c r="B74" s="175"/>
      <c r="C74" s="175"/>
    </row>
    <row r="75">
      <c r="B75" s="175"/>
      <c r="C75" s="175"/>
    </row>
    <row r="76">
      <c r="B76" s="175"/>
      <c r="C76" s="175"/>
    </row>
    <row r="77">
      <c r="B77" s="175"/>
      <c r="C77" s="175"/>
    </row>
    <row r="78">
      <c r="B78" s="175"/>
      <c r="C78" s="175"/>
    </row>
    <row r="79">
      <c r="B79" s="175"/>
      <c r="C79" s="175"/>
    </row>
    <row r="80">
      <c r="B80" s="175"/>
      <c r="C80" s="175"/>
    </row>
    <row r="81">
      <c r="B81" s="175"/>
      <c r="C81" s="175"/>
    </row>
    <row r="82">
      <c r="B82" s="175"/>
      <c r="C82" s="175"/>
    </row>
    <row r="83">
      <c r="B83" s="175"/>
      <c r="C83" s="175"/>
    </row>
    <row r="84">
      <c r="B84" s="175"/>
      <c r="C84" s="175"/>
    </row>
    <row r="85">
      <c r="B85" s="175"/>
      <c r="C85" s="175"/>
    </row>
    <row r="86">
      <c r="B86" s="175"/>
      <c r="C86" s="175"/>
    </row>
    <row r="87">
      <c r="B87" s="175"/>
      <c r="C87" s="175"/>
    </row>
    <row r="88">
      <c r="B88" s="175"/>
      <c r="C88" s="175"/>
    </row>
    <row r="89">
      <c r="B89" s="175"/>
      <c r="C89" s="175"/>
    </row>
    <row r="90">
      <c r="B90" s="175"/>
      <c r="C90" s="175"/>
    </row>
    <row r="91">
      <c r="B91" s="175"/>
      <c r="C91" s="175"/>
    </row>
    <row r="92">
      <c r="B92" s="175"/>
      <c r="C92" s="175"/>
    </row>
    <row r="93">
      <c r="B93" s="175"/>
      <c r="C93" s="175"/>
    </row>
    <row r="94">
      <c r="B94" s="175"/>
      <c r="C94" s="175"/>
    </row>
    <row r="95">
      <c r="B95" s="175"/>
      <c r="C95" s="175"/>
    </row>
    <row r="96">
      <c r="B96" s="175"/>
      <c r="C96" s="175"/>
    </row>
    <row r="97">
      <c r="B97" s="175"/>
      <c r="C97" s="175"/>
    </row>
    <row r="98">
      <c r="B98" s="175"/>
      <c r="C98" s="175"/>
    </row>
    <row r="99">
      <c r="B99" s="175"/>
      <c r="C99" s="175"/>
    </row>
    <row r="100">
      <c r="B100" s="175"/>
      <c r="C100" s="175"/>
    </row>
    <row r="101">
      <c r="B101" s="175"/>
      <c r="C101" s="175"/>
    </row>
    <row r="102">
      <c r="B102" s="175"/>
      <c r="C102" s="175"/>
    </row>
    <row r="103">
      <c r="B103" s="175"/>
      <c r="C103" s="175"/>
    </row>
    <row r="104">
      <c r="B104" s="175"/>
      <c r="C104" s="175"/>
    </row>
    <row r="105">
      <c r="B105" s="175"/>
      <c r="C105" s="175"/>
    </row>
    <row r="106">
      <c r="B106" s="175"/>
      <c r="C106" s="175"/>
    </row>
    <row r="107">
      <c r="B107" s="175"/>
      <c r="C107" s="175"/>
    </row>
    <row r="108">
      <c r="B108" s="175"/>
      <c r="C108" s="175"/>
    </row>
    <row r="109">
      <c r="B109" s="175"/>
      <c r="C109" s="175"/>
    </row>
    <row r="110">
      <c r="B110" s="175"/>
      <c r="C110" s="175"/>
    </row>
    <row r="111">
      <c r="B111" s="175"/>
      <c r="C111" s="175"/>
    </row>
    <row r="112">
      <c r="B112" s="175"/>
      <c r="C112" s="175"/>
    </row>
    <row r="113">
      <c r="B113" s="175"/>
      <c r="C113" s="175"/>
    </row>
    <row r="114">
      <c r="B114" s="175"/>
      <c r="C114" s="175"/>
    </row>
    <row r="115">
      <c r="B115" s="175"/>
      <c r="C115" s="175"/>
    </row>
    <row r="116">
      <c r="B116" s="175"/>
      <c r="C116" s="175"/>
    </row>
    <row r="117">
      <c r="B117" s="175"/>
      <c r="C117" s="175"/>
    </row>
    <row r="118">
      <c r="B118" s="175"/>
      <c r="C118" s="175"/>
    </row>
    <row r="119">
      <c r="B119" s="175"/>
      <c r="C119" s="175"/>
    </row>
    <row r="120">
      <c r="B120" s="175"/>
      <c r="C120" s="175"/>
    </row>
    <row r="121">
      <c r="B121" s="175"/>
      <c r="C121" s="175"/>
    </row>
    <row r="122">
      <c r="B122" s="175"/>
      <c r="C122" s="175"/>
    </row>
    <row r="123">
      <c r="B123" s="175"/>
      <c r="C123" s="175"/>
    </row>
    <row r="124">
      <c r="B124" s="175"/>
      <c r="C124" s="175"/>
    </row>
    <row r="125">
      <c r="B125" s="175"/>
      <c r="C125" s="175"/>
    </row>
    <row r="126">
      <c r="B126" s="175"/>
      <c r="C126" s="175"/>
    </row>
    <row r="127">
      <c r="B127" s="175"/>
      <c r="C127" s="175"/>
    </row>
    <row r="128">
      <c r="B128" s="175"/>
      <c r="C128" s="175"/>
    </row>
    <row r="129">
      <c r="B129" s="175"/>
      <c r="C129" s="175"/>
    </row>
    <row r="130">
      <c r="B130" s="175"/>
      <c r="C130" s="175"/>
    </row>
    <row r="131">
      <c r="B131" s="175"/>
      <c r="C131" s="175"/>
    </row>
    <row r="132">
      <c r="B132" s="175"/>
      <c r="C132" s="175"/>
    </row>
    <row r="133">
      <c r="B133" s="175"/>
      <c r="C133" s="175"/>
    </row>
    <row r="134">
      <c r="B134" s="175"/>
      <c r="C134" s="175"/>
    </row>
    <row r="135">
      <c r="B135" s="175"/>
      <c r="C135" s="175"/>
    </row>
    <row r="136">
      <c r="B136" s="175"/>
      <c r="C136" s="175"/>
    </row>
    <row r="137">
      <c r="B137" s="175"/>
      <c r="C137" s="175"/>
    </row>
    <row r="138">
      <c r="B138" s="175"/>
      <c r="C138" s="175"/>
    </row>
    <row r="139">
      <c r="B139" s="175"/>
      <c r="C139" s="175"/>
    </row>
    <row r="140">
      <c r="B140" s="175"/>
      <c r="C140" s="175"/>
    </row>
    <row r="141">
      <c r="B141" s="175"/>
      <c r="C141" s="175"/>
    </row>
    <row r="142">
      <c r="B142" s="175"/>
      <c r="C142" s="175"/>
    </row>
    <row r="143">
      <c r="B143" s="175"/>
      <c r="C143" s="175"/>
    </row>
    <row r="144">
      <c r="B144" s="175"/>
      <c r="C144" s="175"/>
    </row>
    <row r="145">
      <c r="B145" s="175"/>
      <c r="C145" s="175"/>
    </row>
    <row r="146">
      <c r="B146" s="175"/>
      <c r="C146" s="175"/>
    </row>
    <row r="147">
      <c r="B147" s="175"/>
      <c r="C147" s="175"/>
    </row>
    <row r="148">
      <c r="B148" s="175"/>
      <c r="C148" s="175"/>
    </row>
    <row r="149">
      <c r="B149" s="175"/>
      <c r="C149" s="175"/>
    </row>
    <row r="150">
      <c r="B150" s="175"/>
      <c r="C150" s="175"/>
    </row>
    <row r="151">
      <c r="B151" s="175"/>
      <c r="C151" s="175"/>
    </row>
    <row r="152">
      <c r="B152" s="175"/>
      <c r="C152" s="175"/>
    </row>
    <row r="153">
      <c r="B153" s="175"/>
      <c r="C153" s="175"/>
    </row>
    <row r="154">
      <c r="B154" s="175"/>
      <c r="C154" s="175"/>
    </row>
    <row r="155">
      <c r="B155" s="175"/>
      <c r="C155" s="175"/>
    </row>
    <row r="156">
      <c r="B156" s="175"/>
      <c r="C156" s="175"/>
    </row>
    <row r="157">
      <c r="B157" s="175"/>
      <c r="C157" s="175"/>
    </row>
    <row r="158">
      <c r="B158" s="175"/>
      <c r="C158" s="175"/>
    </row>
    <row r="159">
      <c r="B159" s="175"/>
      <c r="C159" s="175"/>
    </row>
    <row r="160">
      <c r="B160" s="175"/>
      <c r="C160" s="175"/>
    </row>
    <row r="161">
      <c r="B161" s="175"/>
      <c r="C161" s="175"/>
    </row>
    <row r="162">
      <c r="B162" s="175"/>
      <c r="C162" s="175"/>
    </row>
    <row r="163">
      <c r="B163" s="175"/>
      <c r="C163" s="175"/>
    </row>
    <row r="164">
      <c r="B164" s="175"/>
      <c r="C164" s="175"/>
    </row>
    <row r="165">
      <c r="B165" s="175"/>
      <c r="C165" s="175"/>
    </row>
    <row r="166">
      <c r="B166" s="175"/>
      <c r="C166" s="175"/>
    </row>
    <row r="167">
      <c r="B167" s="175"/>
      <c r="C167" s="175"/>
    </row>
    <row r="168">
      <c r="B168" s="175"/>
      <c r="C168" s="175"/>
    </row>
    <row r="169">
      <c r="B169" s="175"/>
      <c r="C169" s="175"/>
    </row>
    <row r="170">
      <c r="B170" s="175"/>
      <c r="C170" s="175"/>
    </row>
    <row r="171">
      <c r="B171" s="175"/>
      <c r="C171" s="175"/>
    </row>
    <row r="172">
      <c r="B172" s="175"/>
      <c r="C172" s="175"/>
    </row>
    <row r="173">
      <c r="B173" s="175"/>
      <c r="C173" s="175"/>
    </row>
    <row r="174">
      <c r="B174" s="175"/>
      <c r="C174" s="175"/>
    </row>
    <row r="175">
      <c r="B175" s="175"/>
      <c r="C175" s="175"/>
    </row>
    <row r="176">
      <c r="B176" s="175"/>
      <c r="C176" s="175"/>
    </row>
    <row r="177">
      <c r="B177" s="175"/>
      <c r="C177" s="175"/>
    </row>
    <row r="178">
      <c r="B178" s="175"/>
      <c r="C178" s="175"/>
    </row>
    <row r="179">
      <c r="B179" s="175"/>
      <c r="C179" s="175"/>
    </row>
    <row r="180">
      <c r="B180" s="175"/>
      <c r="C180" s="175"/>
    </row>
    <row r="181">
      <c r="B181" s="175"/>
      <c r="C181" s="175"/>
    </row>
    <row r="182">
      <c r="B182" s="175"/>
      <c r="C182" s="175"/>
    </row>
    <row r="183">
      <c r="B183" s="175"/>
      <c r="C183" s="175"/>
    </row>
    <row r="184">
      <c r="B184" s="175"/>
      <c r="C184" s="175"/>
    </row>
    <row r="185">
      <c r="B185" s="175"/>
      <c r="C185" s="175"/>
    </row>
    <row r="186">
      <c r="B186" s="175"/>
      <c r="C186" s="175"/>
    </row>
    <row r="187">
      <c r="B187" s="175"/>
      <c r="C187" s="175"/>
    </row>
    <row r="188">
      <c r="B188" s="175"/>
      <c r="C188" s="175"/>
    </row>
    <row r="189">
      <c r="B189" s="175"/>
      <c r="C189" s="175"/>
    </row>
    <row r="190">
      <c r="B190" s="175"/>
      <c r="C190" s="175"/>
    </row>
    <row r="191">
      <c r="B191" s="175"/>
      <c r="C191" s="175"/>
    </row>
    <row r="192">
      <c r="B192" s="175"/>
      <c r="C192" s="175"/>
    </row>
    <row r="193">
      <c r="B193" s="175"/>
      <c r="C193" s="175"/>
    </row>
    <row r="194">
      <c r="B194" s="175"/>
      <c r="C194" s="175"/>
    </row>
    <row r="195">
      <c r="B195" s="175"/>
      <c r="C195" s="175"/>
    </row>
    <row r="196">
      <c r="B196" s="175"/>
      <c r="C196" s="175"/>
    </row>
    <row r="197">
      <c r="B197" s="175"/>
      <c r="C197" s="175"/>
    </row>
    <row r="198">
      <c r="B198" s="175"/>
      <c r="C198" s="175"/>
    </row>
    <row r="199">
      <c r="B199" s="175"/>
      <c r="C199" s="175"/>
    </row>
    <row r="200">
      <c r="B200" s="175"/>
      <c r="C200" s="175"/>
    </row>
    <row r="201">
      <c r="B201" s="175"/>
      <c r="C201" s="175"/>
    </row>
    <row r="202">
      <c r="B202" s="175"/>
      <c r="C202" s="175"/>
    </row>
    <row r="203">
      <c r="B203" s="175"/>
      <c r="C203" s="175"/>
    </row>
    <row r="204">
      <c r="B204" s="175"/>
      <c r="C204" s="175"/>
    </row>
    <row r="205">
      <c r="B205" s="175"/>
      <c r="C205" s="175"/>
    </row>
    <row r="206">
      <c r="B206" s="175"/>
      <c r="C206" s="175"/>
    </row>
    <row r="207">
      <c r="B207" s="175"/>
      <c r="C207" s="175"/>
    </row>
    <row r="208">
      <c r="B208" s="175"/>
      <c r="C208" s="175"/>
    </row>
    <row r="209">
      <c r="B209" s="175"/>
      <c r="C209" s="175"/>
    </row>
    <row r="210">
      <c r="B210" s="175"/>
      <c r="C210" s="175"/>
    </row>
    <row r="211">
      <c r="B211" s="175"/>
      <c r="C211" s="175"/>
    </row>
    <row r="212">
      <c r="B212" s="175"/>
      <c r="C212" s="175"/>
    </row>
    <row r="213">
      <c r="B213" s="175"/>
      <c r="C213" s="175"/>
    </row>
    <row r="214">
      <c r="B214" s="175"/>
      <c r="C214" s="175"/>
    </row>
    <row r="215">
      <c r="B215" s="175"/>
      <c r="C215" s="175"/>
    </row>
    <row r="216">
      <c r="B216" s="175"/>
      <c r="C216" s="175"/>
    </row>
    <row r="217">
      <c r="B217" s="175"/>
      <c r="C217" s="175"/>
    </row>
    <row r="218">
      <c r="B218" s="175"/>
      <c r="C218" s="175"/>
    </row>
    <row r="219">
      <c r="B219" s="175"/>
      <c r="C219" s="175"/>
    </row>
    <row r="220">
      <c r="B220" s="175"/>
      <c r="C220" s="175"/>
    </row>
    <row r="221">
      <c r="B221" s="175"/>
      <c r="C221" s="175"/>
    </row>
    <row r="222">
      <c r="B222" s="175"/>
      <c r="C222" s="175"/>
    </row>
    <row r="223">
      <c r="B223" s="175"/>
      <c r="C223" s="175"/>
    </row>
    <row r="224">
      <c r="B224" s="175"/>
      <c r="C224" s="175"/>
    </row>
    <row r="225">
      <c r="B225" s="175"/>
      <c r="C225" s="175"/>
    </row>
    <row r="226">
      <c r="B226" s="175"/>
      <c r="C226" s="175"/>
    </row>
    <row r="227">
      <c r="B227" s="175"/>
      <c r="C227" s="175"/>
    </row>
    <row r="228">
      <c r="B228" s="175"/>
      <c r="C228" s="175"/>
    </row>
    <row r="229">
      <c r="B229" s="175"/>
      <c r="C229" s="175"/>
    </row>
    <row r="230">
      <c r="B230" s="175"/>
      <c r="C230" s="175"/>
    </row>
    <row r="231">
      <c r="B231" s="175"/>
      <c r="C231" s="175"/>
    </row>
    <row r="232">
      <c r="B232" s="175"/>
      <c r="C232" s="175"/>
    </row>
    <row r="233">
      <c r="B233" s="175"/>
      <c r="C233" s="175"/>
    </row>
    <row r="234">
      <c r="B234" s="175"/>
      <c r="C234" s="175"/>
    </row>
    <row r="235">
      <c r="B235" s="175"/>
      <c r="C235" s="175"/>
    </row>
    <row r="236">
      <c r="B236" s="175"/>
      <c r="C236" s="175"/>
    </row>
    <row r="237">
      <c r="B237" s="175"/>
      <c r="C237" s="175"/>
    </row>
    <row r="238">
      <c r="B238" s="175"/>
      <c r="C238" s="175"/>
    </row>
    <row r="239">
      <c r="B239" s="175"/>
      <c r="C239" s="175"/>
    </row>
    <row r="240">
      <c r="B240" s="175"/>
      <c r="C240" s="175"/>
    </row>
    <row r="241">
      <c r="B241" s="175"/>
      <c r="C241" s="175"/>
    </row>
    <row r="242">
      <c r="B242" s="175"/>
      <c r="C242" s="175"/>
    </row>
    <row r="243">
      <c r="B243" s="175"/>
      <c r="C243" s="175"/>
    </row>
    <row r="244">
      <c r="B244" s="175"/>
      <c r="C244" s="175"/>
    </row>
    <row r="245">
      <c r="B245" s="175"/>
      <c r="C245" s="175"/>
    </row>
    <row r="246">
      <c r="B246" s="175"/>
      <c r="C246" s="175"/>
    </row>
    <row r="247">
      <c r="B247" s="175"/>
      <c r="C247" s="175"/>
    </row>
    <row r="248">
      <c r="B248" s="175"/>
      <c r="C248" s="175"/>
    </row>
    <row r="249">
      <c r="B249" s="175"/>
      <c r="C249" s="175"/>
    </row>
    <row r="250">
      <c r="B250" s="175"/>
      <c r="C250" s="175"/>
    </row>
    <row r="251">
      <c r="B251" s="175"/>
      <c r="C251" s="175"/>
    </row>
    <row r="252">
      <c r="B252" s="175"/>
      <c r="C252" s="175"/>
    </row>
    <row r="253">
      <c r="B253" s="175"/>
      <c r="C253" s="175"/>
    </row>
    <row r="254">
      <c r="B254" s="175"/>
      <c r="C254" s="175"/>
    </row>
    <row r="255">
      <c r="B255" s="175"/>
      <c r="C255" s="175"/>
    </row>
    <row r="256">
      <c r="B256" s="175"/>
      <c r="C256" s="175"/>
    </row>
    <row r="257">
      <c r="B257" s="175"/>
      <c r="C257" s="175"/>
    </row>
    <row r="258">
      <c r="B258" s="175"/>
      <c r="C258" s="175"/>
    </row>
    <row r="259">
      <c r="B259" s="175"/>
      <c r="C259" s="175"/>
    </row>
    <row r="260">
      <c r="B260" s="175"/>
      <c r="C260" s="175"/>
    </row>
    <row r="261">
      <c r="B261" s="175"/>
      <c r="C261" s="175"/>
    </row>
    <row r="262">
      <c r="B262" s="175"/>
      <c r="C262" s="175"/>
    </row>
    <row r="263">
      <c r="B263" s="175"/>
      <c r="C263" s="175"/>
    </row>
    <row r="264">
      <c r="B264" s="175"/>
      <c r="C264" s="175"/>
    </row>
    <row r="265">
      <c r="B265" s="175"/>
      <c r="C265" s="175"/>
    </row>
    <row r="266">
      <c r="B266" s="175"/>
      <c r="C266" s="175"/>
    </row>
    <row r="267">
      <c r="B267" s="175"/>
      <c r="C267" s="175"/>
    </row>
    <row r="268">
      <c r="B268" s="175"/>
      <c r="C268" s="175"/>
    </row>
    <row r="269">
      <c r="B269" s="175"/>
      <c r="C269" s="175"/>
    </row>
    <row r="270">
      <c r="B270" s="175"/>
      <c r="C270" s="175"/>
    </row>
    <row r="271">
      <c r="B271" s="175"/>
      <c r="C271" s="175"/>
    </row>
    <row r="272">
      <c r="B272" s="175"/>
      <c r="C272" s="175"/>
    </row>
    <row r="273">
      <c r="B273" s="175"/>
      <c r="C273" s="175"/>
    </row>
    <row r="274">
      <c r="B274" s="175"/>
      <c r="C274" s="175"/>
    </row>
    <row r="275">
      <c r="B275" s="175"/>
      <c r="C275" s="175"/>
    </row>
    <row r="276">
      <c r="B276" s="175"/>
      <c r="C276" s="175"/>
    </row>
    <row r="277">
      <c r="B277" s="175"/>
      <c r="C277" s="175"/>
    </row>
    <row r="278">
      <c r="B278" s="175"/>
      <c r="C278" s="175"/>
    </row>
    <row r="279">
      <c r="B279" s="175"/>
      <c r="C279" s="175"/>
    </row>
    <row r="280">
      <c r="B280" s="175"/>
      <c r="C280" s="175"/>
    </row>
    <row r="281">
      <c r="B281" s="175"/>
      <c r="C281" s="175"/>
    </row>
    <row r="282">
      <c r="B282" s="175"/>
      <c r="C282" s="175"/>
    </row>
    <row r="283">
      <c r="B283" s="175"/>
      <c r="C283" s="175"/>
    </row>
    <row r="284">
      <c r="B284" s="175"/>
      <c r="C284" s="175"/>
    </row>
    <row r="285">
      <c r="B285" s="175"/>
      <c r="C285" s="175"/>
    </row>
    <row r="286">
      <c r="B286" s="175"/>
      <c r="C286" s="175"/>
    </row>
    <row r="287">
      <c r="B287" s="175"/>
      <c r="C287" s="175"/>
    </row>
    <row r="288">
      <c r="B288" s="175"/>
      <c r="C288" s="175"/>
    </row>
    <row r="289">
      <c r="B289" s="175"/>
      <c r="C289" s="175"/>
    </row>
    <row r="290">
      <c r="B290" s="175"/>
      <c r="C290" s="175"/>
    </row>
    <row r="291">
      <c r="B291" s="175"/>
      <c r="C291" s="175"/>
    </row>
    <row r="292">
      <c r="B292" s="175"/>
      <c r="C292" s="175"/>
    </row>
    <row r="293">
      <c r="B293" s="175"/>
      <c r="C293" s="175"/>
    </row>
    <row r="294">
      <c r="B294" s="175"/>
      <c r="C294" s="175"/>
    </row>
    <row r="295">
      <c r="B295" s="175"/>
      <c r="C295" s="175"/>
    </row>
    <row r="296">
      <c r="B296" s="175"/>
      <c r="C296" s="175"/>
    </row>
    <row r="297">
      <c r="B297" s="175"/>
      <c r="C297" s="175"/>
    </row>
    <row r="298">
      <c r="B298" s="175"/>
      <c r="C298" s="175"/>
    </row>
    <row r="299">
      <c r="B299" s="175"/>
      <c r="C299" s="175"/>
    </row>
    <row r="300">
      <c r="B300" s="175"/>
      <c r="C300" s="175"/>
    </row>
    <row r="301">
      <c r="B301" s="175"/>
      <c r="C301" s="175"/>
    </row>
    <row r="302">
      <c r="B302" s="175"/>
      <c r="C302" s="175"/>
    </row>
    <row r="303">
      <c r="B303" s="175"/>
      <c r="C303" s="175"/>
    </row>
    <row r="304">
      <c r="B304" s="175"/>
      <c r="C304" s="175"/>
    </row>
    <row r="305">
      <c r="B305" s="175"/>
      <c r="C305" s="175"/>
    </row>
    <row r="306">
      <c r="B306" s="175"/>
      <c r="C306" s="175"/>
    </row>
    <row r="307">
      <c r="B307" s="175"/>
      <c r="C307" s="175"/>
    </row>
    <row r="308">
      <c r="B308" s="175"/>
      <c r="C308" s="175"/>
    </row>
    <row r="309">
      <c r="B309" s="175"/>
      <c r="C309" s="175"/>
    </row>
    <row r="310">
      <c r="B310" s="175"/>
      <c r="C310" s="175"/>
    </row>
    <row r="311">
      <c r="B311" s="175"/>
      <c r="C311" s="175"/>
    </row>
    <row r="312">
      <c r="B312" s="175"/>
      <c r="C312" s="175"/>
    </row>
    <row r="313">
      <c r="B313" s="175"/>
      <c r="C313" s="175"/>
    </row>
    <row r="314">
      <c r="B314" s="175"/>
      <c r="C314" s="175"/>
    </row>
    <row r="315">
      <c r="B315" s="175"/>
      <c r="C315" s="175"/>
    </row>
    <row r="316">
      <c r="B316" s="175"/>
      <c r="C316" s="175"/>
    </row>
    <row r="317">
      <c r="B317" s="175"/>
      <c r="C317" s="175"/>
    </row>
    <row r="318">
      <c r="B318" s="175"/>
      <c r="C318" s="175"/>
    </row>
    <row r="319">
      <c r="B319" s="175"/>
      <c r="C319" s="175"/>
    </row>
    <row r="320">
      <c r="B320" s="175"/>
      <c r="C320" s="175"/>
    </row>
    <row r="321">
      <c r="B321" s="175"/>
      <c r="C321" s="175"/>
    </row>
    <row r="322">
      <c r="B322" s="175"/>
      <c r="C322" s="175"/>
    </row>
    <row r="323">
      <c r="B323" s="175"/>
      <c r="C323" s="175"/>
    </row>
    <row r="324">
      <c r="B324" s="175"/>
      <c r="C324" s="175"/>
    </row>
    <row r="325">
      <c r="B325" s="175"/>
      <c r="C325" s="175"/>
    </row>
    <row r="326">
      <c r="B326" s="175"/>
      <c r="C326" s="175"/>
    </row>
    <row r="327">
      <c r="B327" s="175"/>
      <c r="C327" s="175"/>
    </row>
    <row r="328">
      <c r="B328" s="175"/>
      <c r="C328" s="175"/>
    </row>
    <row r="329">
      <c r="B329" s="175"/>
      <c r="C329" s="175"/>
    </row>
    <row r="330">
      <c r="B330" s="175"/>
      <c r="C330" s="175"/>
    </row>
    <row r="331">
      <c r="B331" s="175"/>
      <c r="C331" s="175"/>
    </row>
    <row r="332">
      <c r="B332" s="175"/>
      <c r="C332" s="175"/>
    </row>
    <row r="333">
      <c r="B333" s="175"/>
      <c r="C333" s="175"/>
    </row>
    <row r="334">
      <c r="B334" s="175"/>
      <c r="C334" s="175"/>
    </row>
    <row r="335">
      <c r="B335" s="175"/>
      <c r="C335" s="175"/>
    </row>
    <row r="336">
      <c r="B336" s="175"/>
      <c r="C336" s="175"/>
    </row>
    <row r="337">
      <c r="B337" s="175"/>
      <c r="C337" s="175"/>
    </row>
    <row r="338">
      <c r="B338" s="175"/>
      <c r="C338" s="175"/>
    </row>
    <row r="339">
      <c r="B339" s="175"/>
      <c r="C339" s="175"/>
    </row>
    <row r="340">
      <c r="B340" s="175"/>
      <c r="C340" s="175"/>
    </row>
    <row r="341">
      <c r="B341" s="175"/>
      <c r="C341" s="175"/>
    </row>
    <row r="342">
      <c r="B342" s="175"/>
      <c r="C342" s="175"/>
    </row>
    <row r="343">
      <c r="B343" s="175"/>
      <c r="C343" s="175"/>
    </row>
    <row r="344">
      <c r="B344" s="175"/>
      <c r="C344" s="175"/>
    </row>
    <row r="345">
      <c r="B345" s="175"/>
      <c r="C345" s="175"/>
    </row>
    <row r="346">
      <c r="B346" s="175"/>
      <c r="C346" s="175"/>
    </row>
    <row r="347">
      <c r="B347" s="175"/>
      <c r="C347" s="175"/>
    </row>
    <row r="348">
      <c r="B348" s="175"/>
      <c r="C348" s="175"/>
    </row>
    <row r="349">
      <c r="B349" s="175"/>
      <c r="C349" s="175"/>
    </row>
    <row r="350">
      <c r="B350" s="175"/>
      <c r="C350" s="175"/>
    </row>
    <row r="351">
      <c r="B351" s="175"/>
      <c r="C351" s="175"/>
    </row>
    <row r="352">
      <c r="B352" s="175"/>
      <c r="C352" s="175"/>
    </row>
    <row r="353">
      <c r="B353" s="175"/>
      <c r="C353" s="175"/>
    </row>
    <row r="354">
      <c r="B354" s="175"/>
      <c r="C354" s="175"/>
    </row>
    <row r="355">
      <c r="B355" s="175"/>
      <c r="C355" s="175"/>
    </row>
    <row r="356">
      <c r="B356" s="175"/>
      <c r="C356" s="175"/>
    </row>
    <row r="357">
      <c r="B357" s="175"/>
      <c r="C357" s="175"/>
    </row>
    <row r="358">
      <c r="B358" s="175"/>
      <c r="C358" s="175"/>
    </row>
    <row r="359">
      <c r="B359" s="175"/>
      <c r="C359" s="175"/>
    </row>
    <row r="360">
      <c r="B360" s="175"/>
      <c r="C360" s="175"/>
    </row>
    <row r="361">
      <c r="B361" s="175"/>
      <c r="C361" s="175"/>
    </row>
    <row r="362">
      <c r="B362" s="175"/>
      <c r="C362" s="175"/>
    </row>
    <row r="363">
      <c r="B363" s="175"/>
      <c r="C363" s="175"/>
    </row>
    <row r="364">
      <c r="B364" s="175"/>
      <c r="C364" s="175"/>
    </row>
    <row r="365">
      <c r="B365" s="175"/>
      <c r="C365" s="175"/>
    </row>
    <row r="366">
      <c r="B366" s="175"/>
      <c r="C366" s="175"/>
    </row>
    <row r="367">
      <c r="B367" s="175"/>
      <c r="C367" s="175"/>
    </row>
    <row r="368">
      <c r="B368" s="175"/>
      <c r="C368" s="175"/>
    </row>
    <row r="369">
      <c r="B369" s="175"/>
      <c r="C369" s="175"/>
    </row>
    <row r="370">
      <c r="B370" s="175"/>
      <c r="C370" s="175"/>
    </row>
    <row r="371">
      <c r="B371" s="175"/>
      <c r="C371" s="175"/>
    </row>
    <row r="372">
      <c r="B372" s="175"/>
      <c r="C372" s="175"/>
    </row>
    <row r="373">
      <c r="B373" s="175"/>
      <c r="C373" s="175"/>
    </row>
    <row r="374">
      <c r="B374" s="175"/>
      <c r="C374" s="175"/>
    </row>
    <row r="375">
      <c r="B375" s="175"/>
      <c r="C375" s="175"/>
    </row>
    <row r="376">
      <c r="B376" s="175"/>
      <c r="C376" s="175"/>
    </row>
    <row r="377">
      <c r="B377" s="175"/>
      <c r="C377" s="175"/>
    </row>
    <row r="378">
      <c r="B378" s="175"/>
      <c r="C378" s="175"/>
    </row>
    <row r="379">
      <c r="B379" s="175"/>
      <c r="C379" s="175"/>
    </row>
    <row r="380">
      <c r="B380" s="175"/>
      <c r="C380" s="175"/>
    </row>
    <row r="381">
      <c r="B381" s="175"/>
      <c r="C381" s="175"/>
    </row>
    <row r="382">
      <c r="B382" s="175"/>
      <c r="C382" s="175"/>
    </row>
    <row r="383">
      <c r="B383" s="175"/>
      <c r="C383" s="175"/>
    </row>
    <row r="384">
      <c r="B384" s="175"/>
      <c r="C384" s="175"/>
    </row>
    <row r="385">
      <c r="B385" s="175"/>
      <c r="C385" s="175"/>
    </row>
    <row r="386">
      <c r="B386" s="175"/>
      <c r="C386" s="175"/>
    </row>
    <row r="387">
      <c r="B387" s="175"/>
      <c r="C387" s="175"/>
    </row>
    <row r="388">
      <c r="B388" s="175"/>
      <c r="C388" s="175"/>
    </row>
    <row r="389">
      <c r="B389" s="175"/>
      <c r="C389" s="175"/>
    </row>
    <row r="390">
      <c r="B390" s="175"/>
      <c r="C390" s="175"/>
    </row>
    <row r="391">
      <c r="B391" s="175"/>
      <c r="C391" s="175"/>
    </row>
    <row r="392">
      <c r="B392" s="175"/>
      <c r="C392" s="175"/>
    </row>
    <row r="393">
      <c r="B393" s="175"/>
      <c r="C393" s="175"/>
    </row>
    <row r="394">
      <c r="B394" s="175"/>
      <c r="C394" s="175"/>
    </row>
    <row r="395">
      <c r="B395" s="175"/>
      <c r="C395" s="175"/>
    </row>
    <row r="396">
      <c r="B396" s="175"/>
      <c r="C396" s="175"/>
    </row>
    <row r="397">
      <c r="B397" s="175"/>
      <c r="C397" s="175"/>
    </row>
    <row r="398">
      <c r="B398" s="175"/>
      <c r="C398" s="175"/>
    </row>
    <row r="399">
      <c r="B399" s="175"/>
      <c r="C399" s="175"/>
    </row>
    <row r="400">
      <c r="B400" s="175"/>
      <c r="C400" s="175"/>
    </row>
    <row r="401">
      <c r="B401" s="175"/>
      <c r="C401" s="175"/>
    </row>
    <row r="402">
      <c r="B402" s="175"/>
      <c r="C402" s="175"/>
    </row>
    <row r="403">
      <c r="B403" s="175"/>
      <c r="C403" s="175"/>
    </row>
    <row r="404">
      <c r="B404" s="175"/>
      <c r="C404" s="175"/>
    </row>
    <row r="405">
      <c r="B405" s="175"/>
      <c r="C405" s="175"/>
    </row>
    <row r="406">
      <c r="B406" s="175"/>
      <c r="C406" s="175"/>
    </row>
    <row r="407">
      <c r="B407" s="175"/>
      <c r="C407" s="175"/>
    </row>
    <row r="408">
      <c r="B408" s="175"/>
      <c r="C408" s="175"/>
    </row>
    <row r="409">
      <c r="B409" s="175"/>
      <c r="C409" s="175"/>
    </row>
    <row r="410">
      <c r="B410" s="175"/>
      <c r="C410" s="175"/>
    </row>
    <row r="411">
      <c r="B411" s="175"/>
      <c r="C411" s="175"/>
    </row>
    <row r="412">
      <c r="B412" s="175"/>
      <c r="C412" s="175"/>
    </row>
    <row r="413">
      <c r="B413" s="175"/>
      <c r="C413" s="175"/>
    </row>
    <row r="414">
      <c r="B414" s="175"/>
      <c r="C414" s="175"/>
    </row>
    <row r="415">
      <c r="B415" s="175"/>
      <c r="C415" s="175"/>
    </row>
    <row r="416">
      <c r="B416" s="175"/>
      <c r="C416" s="175"/>
    </row>
    <row r="417">
      <c r="B417" s="175"/>
      <c r="C417" s="175"/>
    </row>
    <row r="418">
      <c r="B418" s="175"/>
      <c r="C418" s="175"/>
    </row>
    <row r="419">
      <c r="B419" s="175"/>
      <c r="C419" s="175"/>
    </row>
    <row r="420">
      <c r="B420" s="175"/>
      <c r="C420" s="175"/>
    </row>
    <row r="421">
      <c r="B421" s="175"/>
      <c r="C421" s="175"/>
    </row>
    <row r="422">
      <c r="B422" s="175"/>
      <c r="C422" s="175"/>
    </row>
    <row r="423">
      <c r="B423" s="175"/>
      <c r="C423" s="175"/>
    </row>
    <row r="424">
      <c r="B424" s="175"/>
      <c r="C424" s="175"/>
    </row>
    <row r="425">
      <c r="B425" s="175"/>
      <c r="C425" s="175"/>
    </row>
    <row r="426">
      <c r="B426" s="175"/>
      <c r="C426" s="175"/>
    </row>
    <row r="427">
      <c r="B427" s="175"/>
      <c r="C427" s="175"/>
    </row>
    <row r="428">
      <c r="B428" s="175"/>
      <c r="C428" s="175"/>
    </row>
    <row r="429">
      <c r="B429" s="175"/>
      <c r="C429" s="175"/>
    </row>
    <row r="430">
      <c r="B430" s="175"/>
      <c r="C430" s="175"/>
    </row>
    <row r="431">
      <c r="B431" s="175"/>
      <c r="C431" s="175"/>
    </row>
    <row r="432">
      <c r="B432" s="175"/>
      <c r="C432" s="175"/>
    </row>
    <row r="433">
      <c r="B433" s="175"/>
      <c r="C433" s="175"/>
    </row>
    <row r="434">
      <c r="B434" s="175"/>
      <c r="C434" s="175"/>
    </row>
    <row r="435">
      <c r="B435" s="175"/>
      <c r="C435" s="175"/>
    </row>
    <row r="436">
      <c r="B436" s="175"/>
      <c r="C436" s="175"/>
    </row>
    <row r="437">
      <c r="B437" s="175"/>
      <c r="C437" s="175"/>
    </row>
    <row r="438">
      <c r="B438" s="175"/>
      <c r="C438" s="175"/>
    </row>
    <row r="439">
      <c r="B439" s="175"/>
      <c r="C439" s="175"/>
    </row>
    <row r="440">
      <c r="B440" s="175"/>
      <c r="C440" s="175"/>
    </row>
    <row r="441">
      <c r="B441" s="175"/>
      <c r="C441" s="175"/>
    </row>
    <row r="442">
      <c r="B442" s="175"/>
      <c r="C442" s="175"/>
    </row>
    <row r="443">
      <c r="B443" s="175"/>
      <c r="C443" s="175"/>
    </row>
    <row r="444">
      <c r="B444" s="175"/>
      <c r="C444" s="175"/>
    </row>
    <row r="445">
      <c r="B445" s="175"/>
      <c r="C445" s="175"/>
    </row>
    <row r="446">
      <c r="B446" s="175"/>
      <c r="C446" s="175"/>
    </row>
    <row r="447">
      <c r="B447" s="175"/>
      <c r="C447" s="175"/>
    </row>
    <row r="448">
      <c r="B448" s="175"/>
      <c r="C448" s="175"/>
    </row>
    <row r="449">
      <c r="B449" s="175"/>
      <c r="C449" s="175"/>
    </row>
    <row r="450">
      <c r="B450" s="175"/>
      <c r="C450" s="175"/>
    </row>
    <row r="451">
      <c r="B451" s="175"/>
      <c r="C451" s="175"/>
    </row>
    <row r="452">
      <c r="B452" s="175"/>
      <c r="C452" s="175"/>
    </row>
    <row r="453">
      <c r="B453" s="175"/>
      <c r="C453" s="175"/>
    </row>
    <row r="454">
      <c r="B454" s="175"/>
      <c r="C454" s="175"/>
    </row>
    <row r="455">
      <c r="B455" s="175"/>
      <c r="C455" s="175"/>
    </row>
    <row r="456">
      <c r="B456" s="175"/>
      <c r="C456" s="175"/>
    </row>
    <row r="457">
      <c r="B457" s="175"/>
      <c r="C457" s="175"/>
    </row>
    <row r="458">
      <c r="B458" s="175"/>
      <c r="C458" s="175"/>
    </row>
    <row r="459">
      <c r="B459" s="175"/>
      <c r="C459" s="175"/>
    </row>
    <row r="460">
      <c r="B460" s="175"/>
      <c r="C460" s="175"/>
    </row>
    <row r="461">
      <c r="B461" s="175"/>
      <c r="C461" s="175"/>
    </row>
    <row r="462">
      <c r="B462" s="175"/>
      <c r="C462" s="175"/>
    </row>
    <row r="463">
      <c r="B463" s="175"/>
      <c r="C463" s="175"/>
    </row>
    <row r="464">
      <c r="B464" s="175"/>
      <c r="C464" s="175"/>
    </row>
    <row r="465">
      <c r="B465" s="175"/>
      <c r="C465" s="175"/>
    </row>
    <row r="466">
      <c r="B466" s="175"/>
      <c r="C466" s="175"/>
    </row>
    <row r="467">
      <c r="B467" s="175"/>
      <c r="C467" s="175"/>
    </row>
    <row r="468">
      <c r="B468" s="175"/>
      <c r="C468" s="175"/>
    </row>
    <row r="469">
      <c r="B469" s="175"/>
      <c r="C469" s="175"/>
    </row>
    <row r="470">
      <c r="B470" s="175"/>
      <c r="C470" s="175"/>
    </row>
    <row r="471">
      <c r="B471" s="175"/>
      <c r="C471" s="175"/>
    </row>
    <row r="472">
      <c r="B472" s="175"/>
      <c r="C472" s="175"/>
    </row>
    <row r="473">
      <c r="B473" s="175"/>
      <c r="C473" s="175"/>
    </row>
    <row r="474">
      <c r="B474" s="175"/>
      <c r="C474" s="175"/>
    </row>
    <row r="475">
      <c r="B475" s="175"/>
      <c r="C475" s="175"/>
    </row>
    <row r="476">
      <c r="B476" s="175"/>
      <c r="C476" s="175"/>
    </row>
    <row r="477">
      <c r="B477" s="175"/>
      <c r="C477" s="175"/>
    </row>
    <row r="478">
      <c r="B478" s="175"/>
      <c r="C478" s="175"/>
    </row>
    <row r="479">
      <c r="B479" s="175"/>
      <c r="C479" s="175"/>
    </row>
    <row r="480">
      <c r="B480" s="175"/>
      <c r="C480" s="175"/>
    </row>
    <row r="481">
      <c r="B481" s="175"/>
      <c r="C481" s="175"/>
    </row>
    <row r="482">
      <c r="B482" s="175"/>
      <c r="C482" s="175"/>
    </row>
    <row r="483">
      <c r="B483" s="175"/>
      <c r="C483" s="175"/>
    </row>
    <row r="484">
      <c r="B484" s="175"/>
      <c r="C484" s="175"/>
    </row>
    <row r="485">
      <c r="B485" s="175"/>
      <c r="C485" s="175"/>
    </row>
    <row r="486">
      <c r="B486" s="175"/>
      <c r="C486" s="175"/>
    </row>
    <row r="487">
      <c r="B487" s="175"/>
      <c r="C487" s="175"/>
    </row>
    <row r="488">
      <c r="B488" s="175"/>
      <c r="C488" s="175"/>
    </row>
    <row r="489">
      <c r="B489" s="175"/>
      <c r="C489" s="175"/>
    </row>
    <row r="490">
      <c r="B490" s="175"/>
      <c r="C490" s="175"/>
    </row>
    <row r="491">
      <c r="B491" s="175"/>
      <c r="C491" s="175"/>
    </row>
    <row r="492">
      <c r="B492" s="175"/>
      <c r="C492" s="175"/>
    </row>
    <row r="493">
      <c r="B493" s="175"/>
      <c r="C493" s="175"/>
    </row>
    <row r="494">
      <c r="B494" s="175"/>
      <c r="C494" s="175"/>
    </row>
    <row r="495">
      <c r="B495" s="175"/>
      <c r="C495" s="175"/>
    </row>
    <row r="496">
      <c r="B496" s="175"/>
      <c r="C496" s="175"/>
    </row>
    <row r="497">
      <c r="B497" s="175"/>
      <c r="C497" s="175"/>
    </row>
    <row r="498">
      <c r="B498" s="175"/>
      <c r="C498" s="175"/>
    </row>
    <row r="499">
      <c r="B499" s="175"/>
      <c r="C499" s="175"/>
    </row>
    <row r="500">
      <c r="B500" s="175"/>
      <c r="C500" s="175"/>
    </row>
    <row r="501">
      <c r="B501" s="175"/>
      <c r="C501" s="175"/>
    </row>
    <row r="502">
      <c r="B502" s="175"/>
      <c r="C502" s="175"/>
    </row>
    <row r="503">
      <c r="B503" s="175"/>
      <c r="C503" s="175"/>
    </row>
    <row r="504">
      <c r="B504" s="175"/>
      <c r="C504" s="175"/>
    </row>
    <row r="505">
      <c r="B505" s="175"/>
      <c r="C505" s="175"/>
    </row>
    <row r="506">
      <c r="B506" s="175"/>
      <c r="C506" s="175"/>
    </row>
    <row r="507">
      <c r="B507" s="175"/>
      <c r="C507" s="175"/>
    </row>
    <row r="508">
      <c r="B508" s="175"/>
      <c r="C508" s="175"/>
    </row>
    <row r="509">
      <c r="B509" s="175"/>
      <c r="C509" s="175"/>
    </row>
    <row r="510">
      <c r="B510" s="175"/>
      <c r="C510" s="175"/>
    </row>
    <row r="511">
      <c r="B511" s="175"/>
      <c r="C511" s="175"/>
    </row>
    <row r="512">
      <c r="B512" s="175"/>
      <c r="C512" s="175"/>
    </row>
    <row r="513">
      <c r="B513" s="175"/>
      <c r="C513" s="175"/>
    </row>
    <row r="514">
      <c r="B514" s="175"/>
      <c r="C514" s="175"/>
    </row>
    <row r="515">
      <c r="B515" s="175"/>
      <c r="C515" s="175"/>
    </row>
    <row r="516">
      <c r="B516" s="175"/>
      <c r="C516" s="175"/>
    </row>
    <row r="517">
      <c r="B517" s="175"/>
      <c r="C517" s="175"/>
    </row>
    <row r="518">
      <c r="B518" s="175"/>
      <c r="C518" s="175"/>
    </row>
    <row r="519">
      <c r="B519" s="175"/>
      <c r="C519" s="175"/>
    </row>
    <row r="520">
      <c r="B520" s="175"/>
      <c r="C520" s="175"/>
    </row>
    <row r="521">
      <c r="B521" s="175"/>
      <c r="C521" s="175"/>
    </row>
    <row r="522">
      <c r="B522" s="175"/>
      <c r="C522" s="175"/>
    </row>
    <row r="523">
      <c r="B523" s="175"/>
      <c r="C523" s="175"/>
    </row>
    <row r="524">
      <c r="B524" s="175"/>
      <c r="C524" s="175"/>
    </row>
    <row r="525">
      <c r="B525" s="175"/>
      <c r="C525" s="175"/>
    </row>
    <row r="526">
      <c r="B526" s="175"/>
      <c r="C526" s="175"/>
    </row>
    <row r="527">
      <c r="B527" s="175"/>
      <c r="C527" s="175"/>
    </row>
    <row r="528">
      <c r="B528" s="175"/>
      <c r="C528" s="175"/>
    </row>
    <row r="529">
      <c r="B529" s="175"/>
      <c r="C529" s="175"/>
    </row>
    <row r="530">
      <c r="B530" s="175"/>
      <c r="C530" s="175"/>
    </row>
    <row r="531">
      <c r="B531" s="175"/>
      <c r="C531" s="175"/>
    </row>
    <row r="532">
      <c r="B532" s="175"/>
      <c r="C532" s="175"/>
    </row>
    <row r="533">
      <c r="B533" s="175"/>
      <c r="C533" s="175"/>
    </row>
    <row r="534">
      <c r="B534" s="175"/>
      <c r="C534" s="175"/>
    </row>
    <row r="535">
      <c r="B535" s="175"/>
      <c r="C535" s="175"/>
    </row>
    <row r="536">
      <c r="B536" s="175"/>
      <c r="C536" s="175"/>
    </row>
    <row r="537">
      <c r="B537" s="175"/>
      <c r="C537" s="175"/>
    </row>
    <row r="538">
      <c r="B538" s="175"/>
      <c r="C538" s="175"/>
    </row>
    <row r="539">
      <c r="B539" s="175"/>
      <c r="C539" s="175"/>
    </row>
    <row r="540">
      <c r="B540" s="175"/>
      <c r="C540" s="175"/>
    </row>
    <row r="541">
      <c r="B541" s="175"/>
      <c r="C541" s="175"/>
    </row>
    <row r="542">
      <c r="B542" s="175"/>
      <c r="C542" s="175"/>
    </row>
    <row r="543">
      <c r="B543" s="175"/>
      <c r="C543" s="175"/>
    </row>
    <row r="544">
      <c r="B544" s="175"/>
      <c r="C544" s="175"/>
    </row>
    <row r="545">
      <c r="B545" s="175"/>
      <c r="C545" s="175"/>
    </row>
    <row r="546">
      <c r="B546" s="175"/>
      <c r="C546" s="175"/>
    </row>
    <row r="547">
      <c r="B547" s="175"/>
      <c r="C547" s="175"/>
    </row>
    <row r="548">
      <c r="B548" s="175"/>
      <c r="C548" s="175"/>
    </row>
    <row r="549">
      <c r="B549" s="175"/>
      <c r="C549" s="175"/>
    </row>
    <row r="550">
      <c r="B550" s="175"/>
      <c r="C550" s="175"/>
    </row>
    <row r="551">
      <c r="B551" s="175"/>
      <c r="C551" s="175"/>
    </row>
    <row r="552">
      <c r="B552" s="175"/>
      <c r="C552" s="175"/>
    </row>
    <row r="553">
      <c r="B553" s="175"/>
      <c r="C553" s="175"/>
    </row>
    <row r="554">
      <c r="B554" s="175"/>
      <c r="C554" s="175"/>
    </row>
    <row r="555">
      <c r="B555" s="175"/>
      <c r="C555" s="175"/>
    </row>
    <row r="556">
      <c r="B556" s="175"/>
      <c r="C556" s="175"/>
    </row>
    <row r="557">
      <c r="B557" s="175"/>
      <c r="C557" s="175"/>
    </row>
    <row r="558">
      <c r="B558" s="175"/>
      <c r="C558" s="175"/>
    </row>
    <row r="559">
      <c r="B559" s="175"/>
      <c r="C559" s="175"/>
    </row>
    <row r="560">
      <c r="B560" s="175"/>
      <c r="C560" s="175"/>
    </row>
    <row r="561">
      <c r="B561" s="175"/>
      <c r="C561" s="175"/>
    </row>
    <row r="562">
      <c r="B562" s="175"/>
      <c r="C562" s="175"/>
    </row>
    <row r="563">
      <c r="B563" s="175"/>
      <c r="C563" s="175"/>
    </row>
    <row r="564">
      <c r="B564" s="175"/>
      <c r="C564" s="175"/>
    </row>
    <row r="565">
      <c r="B565" s="175"/>
      <c r="C565" s="175"/>
    </row>
    <row r="566">
      <c r="B566" s="175"/>
      <c r="C566" s="175"/>
    </row>
    <row r="567">
      <c r="B567" s="175"/>
      <c r="C567" s="175"/>
    </row>
    <row r="568">
      <c r="B568" s="175"/>
      <c r="C568" s="175"/>
    </row>
    <row r="569">
      <c r="B569" s="175"/>
      <c r="C569" s="175"/>
    </row>
    <row r="570">
      <c r="B570" s="175"/>
      <c r="C570" s="175"/>
    </row>
    <row r="571">
      <c r="B571" s="175"/>
      <c r="C571" s="175"/>
    </row>
    <row r="572">
      <c r="B572" s="175"/>
      <c r="C572" s="175"/>
    </row>
    <row r="573">
      <c r="B573" s="175"/>
      <c r="C573" s="175"/>
    </row>
    <row r="574">
      <c r="B574" s="175"/>
      <c r="C574" s="175"/>
    </row>
    <row r="575">
      <c r="B575" s="175"/>
      <c r="C575" s="175"/>
    </row>
    <row r="576">
      <c r="B576" s="175"/>
      <c r="C576" s="175"/>
    </row>
    <row r="577">
      <c r="B577" s="175"/>
      <c r="C577" s="175"/>
    </row>
    <row r="578">
      <c r="B578" s="175"/>
      <c r="C578" s="175"/>
    </row>
    <row r="579">
      <c r="B579" s="175"/>
      <c r="C579" s="175"/>
    </row>
    <row r="580">
      <c r="B580" s="175"/>
      <c r="C580" s="175"/>
    </row>
    <row r="581">
      <c r="B581" s="175"/>
      <c r="C581" s="175"/>
    </row>
    <row r="582">
      <c r="B582" s="175"/>
      <c r="C582" s="175"/>
    </row>
    <row r="583">
      <c r="B583" s="175"/>
      <c r="C583" s="175"/>
    </row>
    <row r="584">
      <c r="B584" s="175"/>
      <c r="C584" s="175"/>
    </row>
    <row r="585">
      <c r="B585" s="175"/>
      <c r="C585" s="175"/>
    </row>
    <row r="586">
      <c r="B586" s="175"/>
      <c r="C586" s="175"/>
    </row>
    <row r="587">
      <c r="B587" s="175"/>
      <c r="C587" s="175"/>
    </row>
    <row r="588">
      <c r="B588" s="175"/>
      <c r="C588" s="175"/>
    </row>
    <row r="589">
      <c r="B589" s="175"/>
      <c r="C589" s="175"/>
    </row>
    <row r="590">
      <c r="B590" s="175"/>
      <c r="C590" s="175"/>
    </row>
    <row r="591">
      <c r="B591" s="175"/>
      <c r="C591" s="175"/>
    </row>
    <row r="592">
      <c r="B592" s="175"/>
      <c r="C592" s="175"/>
    </row>
    <row r="593">
      <c r="B593" s="175"/>
      <c r="C593" s="175"/>
    </row>
    <row r="594">
      <c r="B594" s="175"/>
      <c r="C594" s="175"/>
    </row>
    <row r="595">
      <c r="B595" s="175"/>
      <c r="C595" s="175"/>
    </row>
    <row r="596">
      <c r="B596" s="175"/>
      <c r="C596" s="175"/>
    </row>
    <row r="597">
      <c r="B597" s="175"/>
      <c r="C597" s="175"/>
    </row>
    <row r="598">
      <c r="B598" s="175"/>
      <c r="C598" s="175"/>
    </row>
    <row r="599">
      <c r="B599" s="175"/>
      <c r="C599" s="175"/>
    </row>
    <row r="600">
      <c r="B600" s="175"/>
      <c r="C600" s="175"/>
    </row>
    <row r="601">
      <c r="B601" s="175"/>
      <c r="C601" s="175"/>
    </row>
    <row r="602">
      <c r="B602" s="175"/>
      <c r="C602" s="175"/>
    </row>
    <row r="603">
      <c r="B603" s="175"/>
      <c r="C603" s="175"/>
    </row>
    <row r="604">
      <c r="B604" s="175"/>
      <c r="C604" s="175"/>
    </row>
    <row r="605">
      <c r="B605" s="175"/>
      <c r="C605" s="175"/>
    </row>
    <row r="606">
      <c r="B606" s="175"/>
      <c r="C606" s="175"/>
    </row>
    <row r="607">
      <c r="B607" s="175"/>
      <c r="C607" s="175"/>
    </row>
    <row r="608">
      <c r="B608" s="175"/>
      <c r="C608" s="175"/>
    </row>
    <row r="609">
      <c r="B609" s="175"/>
      <c r="C609" s="175"/>
    </row>
    <row r="610">
      <c r="B610" s="175"/>
      <c r="C610" s="175"/>
    </row>
    <row r="611">
      <c r="B611" s="175"/>
      <c r="C611" s="175"/>
    </row>
    <row r="612">
      <c r="B612" s="175"/>
      <c r="C612" s="175"/>
    </row>
    <row r="613">
      <c r="B613" s="175"/>
      <c r="C613" s="175"/>
    </row>
    <row r="614">
      <c r="B614" s="175"/>
      <c r="C614" s="175"/>
    </row>
    <row r="615">
      <c r="B615" s="175"/>
      <c r="C615" s="175"/>
    </row>
    <row r="616">
      <c r="B616" s="175"/>
      <c r="C616" s="175"/>
    </row>
    <row r="617">
      <c r="B617" s="175"/>
      <c r="C617" s="175"/>
    </row>
    <row r="618">
      <c r="B618" s="175"/>
      <c r="C618" s="175"/>
    </row>
    <row r="619">
      <c r="B619" s="175"/>
      <c r="C619" s="175"/>
    </row>
    <row r="620">
      <c r="B620" s="175"/>
      <c r="C620" s="175"/>
    </row>
    <row r="621">
      <c r="B621" s="175"/>
      <c r="C621" s="175"/>
    </row>
    <row r="622">
      <c r="B622" s="175"/>
      <c r="C622" s="175"/>
    </row>
    <row r="623">
      <c r="B623" s="175"/>
      <c r="C623" s="175"/>
    </row>
    <row r="624">
      <c r="B624" s="175"/>
      <c r="C624" s="175"/>
    </row>
    <row r="625">
      <c r="B625" s="175"/>
      <c r="C625" s="175"/>
    </row>
    <row r="626">
      <c r="B626" s="175"/>
      <c r="C626" s="175"/>
    </row>
    <row r="627">
      <c r="B627" s="175"/>
      <c r="C627" s="175"/>
    </row>
    <row r="628">
      <c r="B628" s="175"/>
      <c r="C628" s="175"/>
    </row>
    <row r="629">
      <c r="B629" s="175"/>
      <c r="C629" s="175"/>
    </row>
    <row r="630">
      <c r="B630" s="175"/>
      <c r="C630" s="175"/>
    </row>
    <row r="631">
      <c r="B631" s="175"/>
      <c r="C631" s="175"/>
    </row>
    <row r="632">
      <c r="B632" s="175"/>
      <c r="C632" s="175"/>
    </row>
    <row r="633">
      <c r="B633" s="175"/>
      <c r="C633" s="175"/>
    </row>
    <row r="634">
      <c r="B634" s="175"/>
      <c r="C634" s="175"/>
    </row>
    <row r="635">
      <c r="B635" s="175"/>
      <c r="C635" s="175"/>
    </row>
    <row r="636">
      <c r="B636" s="175"/>
      <c r="C636" s="175"/>
    </row>
    <row r="637">
      <c r="B637" s="175"/>
      <c r="C637" s="175"/>
    </row>
    <row r="638">
      <c r="B638" s="175"/>
      <c r="C638" s="175"/>
    </row>
    <row r="639">
      <c r="B639" s="175"/>
      <c r="C639" s="175"/>
    </row>
    <row r="640">
      <c r="B640" s="175"/>
      <c r="C640" s="175"/>
    </row>
    <row r="641">
      <c r="B641" s="175"/>
      <c r="C641" s="175"/>
    </row>
    <row r="642">
      <c r="B642" s="175"/>
      <c r="C642" s="175"/>
    </row>
    <row r="643">
      <c r="B643" s="175"/>
      <c r="C643" s="175"/>
    </row>
    <row r="644">
      <c r="B644" s="175"/>
      <c r="C644" s="175"/>
    </row>
    <row r="645">
      <c r="B645" s="175"/>
      <c r="C645" s="175"/>
    </row>
    <row r="646">
      <c r="B646" s="175"/>
      <c r="C646" s="175"/>
    </row>
    <row r="647">
      <c r="B647" s="175"/>
      <c r="C647" s="175"/>
    </row>
    <row r="648">
      <c r="B648" s="175"/>
      <c r="C648" s="175"/>
    </row>
    <row r="649">
      <c r="B649" s="175"/>
      <c r="C649" s="175"/>
    </row>
    <row r="650">
      <c r="B650" s="175"/>
      <c r="C650" s="175"/>
    </row>
    <row r="651">
      <c r="B651" s="175"/>
      <c r="C651" s="175"/>
    </row>
    <row r="652">
      <c r="B652" s="175"/>
      <c r="C652" s="175"/>
    </row>
    <row r="653">
      <c r="B653" s="175"/>
      <c r="C653" s="175"/>
    </row>
    <row r="654">
      <c r="B654" s="175"/>
      <c r="C654" s="175"/>
    </row>
    <row r="655">
      <c r="B655" s="175"/>
      <c r="C655" s="175"/>
    </row>
    <row r="656">
      <c r="B656" s="175"/>
      <c r="C656" s="175"/>
    </row>
    <row r="657">
      <c r="B657" s="175"/>
      <c r="C657" s="175"/>
    </row>
    <row r="658">
      <c r="B658" s="175"/>
      <c r="C658" s="175"/>
    </row>
    <row r="659">
      <c r="B659" s="175"/>
      <c r="C659" s="175"/>
    </row>
    <row r="660">
      <c r="B660" s="175"/>
      <c r="C660" s="175"/>
    </row>
    <row r="661">
      <c r="B661" s="175"/>
      <c r="C661" s="175"/>
    </row>
    <row r="662">
      <c r="B662" s="175"/>
      <c r="C662" s="175"/>
    </row>
    <row r="663">
      <c r="B663" s="175"/>
      <c r="C663" s="175"/>
    </row>
    <row r="664">
      <c r="B664" s="175"/>
      <c r="C664" s="175"/>
    </row>
    <row r="665">
      <c r="B665" s="175"/>
      <c r="C665" s="175"/>
    </row>
    <row r="666">
      <c r="B666" s="175"/>
      <c r="C666" s="175"/>
    </row>
    <row r="667">
      <c r="B667" s="175"/>
      <c r="C667" s="175"/>
    </row>
    <row r="668">
      <c r="B668" s="175"/>
      <c r="C668" s="175"/>
    </row>
    <row r="669">
      <c r="B669" s="175"/>
      <c r="C669" s="175"/>
    </row>
    <row r="670">
      <c r="B670" s="175"/>
      <c r="C670" s="175"/>
    </row>
    <row r="671">
      <c r="B671" s="175"/>
      <c r="C671" s="175"/>
    </row>
    <row r="672">
      <c r="B672" s="175"/>
      <c r="C672" s="175"/>
    </row>
    <row r="673">
      <c r="B673" s="175"/>
      <c r="C673" s="175"/>
    </row>
    <row r="674">
      <c r="B674" s="175"/>
      <c r="C674" s="175"/>
    </row>
    <row r="675">
      <c r="B675" s="175"/>
      <c r="C675" s="175"/>
    </row>
    <row r="676">
      <c r="B676" s="175"/>
      <c r="C676" s="175"/>
    </row>
    <row r="677">
      <c r="B677" s="175"/>
      <c r="C677" s="175"/>
    </row>
    <row r="678">
      <c r="B678" s="175"/>
      <c r="C678" s="175"/>
    </row>
    <row r="679">
      <c r="B679" s="175"/>
      <c r="C679" s="175"/>
    </row>
    <row r="680">
      <c r="B680" s="175"/>
      <c r="C680" s="175"/>
    </row>
    <row r="681">
      <c r="B681" s="175"/>
      <c r="C681" s="175"/>
    </row>
    <row r="682">
      <c r="B682" s="175"/>
      <c r="C682" s="175"/>
    </row>
    <row r="683">
      <c r="B683" s="175"/>
      <c r="C683" s="175"/>
    </row>
    <row r="684">
      <c r="B684" s="175"/>
      <c r="C684" s="175"/>
    </row>
    <row r="685">
      <c r="B685" s="175"/>
      <c r="C685" s="175"/>
    </row>
    <row r="686">
      <c r="B686" s="175"/>
      <c r="C686" s="175"/>
    </row>
    <row r="687">
      <c r="B687" s="175"/>
      <c r="C687" s="175"/>
    </row>
    <row r="688">
      <c r="B688" s="175"/>
      <c r="C688" s="175"/>
    </row>
    <row r="689">
      <c r="B689" s="175"/>
      <c r="C689" s="175"/>
    </row>
    <row r="690">
      <c r="B690" s="175"/>
      <c r="C690" s="175"/>
    </row>
    <row r="691">
      <c r="B691" s="175"/>
      <c r="C691" s="175"/>
    </row>
    <row r="692">
      <c r="B692" s="175"/>
      <c r="C692" s="175"/>
    </row>
    <row r="693">
      <c r="B693" s="175"/>
      <c r="C693" s="175"/>
    </row>
    <row r="694">
      <c r="B694" s="175"/>
      <c r="C694" s="175"/>
    </row>
    <row r="695">
      <c r="B695" s="175"/>
      <c r="C695" s="175"/>
    </row>
    <row r="696">
      <c r="B696" s="175"/>
      <c r="C696" s="175"/>
    </row>
    <row r="697">
      <c r="B697" s="175"/>
      <c r="C697" s="175"/>
    </row>
    <row r="698">
      <c r="B698" s="175"/>
      <c r="C698" s="175"/>
    </row>
    <row r="699">
      <c r="B699" s="175"/>
      <c r="C699" s="175"/>
    </row>
    <row r="700">
      <c r="B700" s="175"/>
      <c r="C700" s="175"/>
    </row>
    <row r="701">
      <c r="B701" s="175"/>
      <c r="C701" s="175"/>
    </row>
    <row r="702">
      <c r="B702" s="175"/>
      <c r="C702" s="175"/>
    </row>
    <row r="703">
      <c r="B703" s="175"/>
      <c r="C703" s="175"/>
    </row>
    <row r="704">
      <c r="B704" s="175"/>
      <c r="C704" s="175"/>
    </row>
    <row r="705">
      <c r="B705" s="175"/>
      <c r="C705" s="175"/>
    </row>
    <row r="706">
      <c r="B706" s="175"/>
      <c r="C706" s="175"/>
    </row>
    <row r="707">
      <c r="B707" s="175"/>
      <c r="C707" s="175"/>
    </row>
    <row r="708">
      <c r="B708" s="175"/>
      <c r="C708" s="175"/>
    </row>
    <row r="709">
      <c r="B709" s="175"/>
      <c r="C709" s="175"/>
    </row>
    <row r="710">
      <c r="B710" s="175"/>
      <c r="C710" s="175"/>
    </row>
    <row r="711">
      <c r="B711" s="175"/>
      <c r="C711" s="175"/>
    </row>
    <row r="712">
      <c r="B712" s="175"/>
      <c r="C712" s="175"/>
    </row>
    <row r="713">
      <c r="B713" s="175"/>
      <c r="C713" s="175"/>
    </row>
    <row r="714">
      <c r="B714" s="175"/>
      <c r="C714" s="175"/>
    </row>
    <row r="715">
      <c r="B715" s="175"/>
      <c r="C715" s="175"/>
    </row>
    <row r="716">
      <c r="B716" s="175"/>
      <c r="C716" s="175"/>
    </row>
    <row r="717">
      <c r="B717" s="175"/>
      <c r="C717" s="175"/>
    </row>
    <row r="718">
      <c r="B718" s="175"/>
      <c r="C718" s="175"/>
    </row>
    <row r="719">
      <c r="B719" s="175"/>
      <c r="C719" s="175"/>
    </row>
    <row r="720">
      <c r="B720" s="175"/>
      <c r="C720" s="175"/>
    </row>
    <row r="721">
      <c r="B721" s="175"/>
      <c r="C721" s="175"/>
    </row>
    <row r="722">
      <c r="B722" s="175"/>
      <c r="C722" s="175"/>
    </row>
    <row r="723">
      <c r="B723" s="175"/>
      <c r="C723" s="175"/>
    </row>
    <row r="724">
      <c r="B724" s="175"/>
      <c r="C724" s="175"/>
    </row>
    <row r="725">
      <c r="B725" s="175"/>
      <c r="C725" s="175"/>
    </row>
    <row r="726">
      <c r="B726" s="175"/>
      <c r="C726" s="175"/>
    </row>
    <row r="727">
      <c r="B727" s="175"/>
      <c r="C727" s="175"/>
    </row>
    <row r="728">
      <c r="B728" s="175"/>
      <c r="C728" s="175"/>
    </row>
    <row r="729">
      <c r="B729" s="175"/>
      <c r="C729" s="175"/>
    </row>
    <row r="730">
      <c r="B730" s="175"/>
      <c r="C730" s="175"/>
    </row>
    <row r="731">
      <c r="B731" s="175"/>
      <c r="C731" s="175"/>
    </row>
    <row r="732">
      <c r="B732" s="175"/>
      <c r="C732" s="175"/>
    </row>
    <row r="733">
      <c r="B733" s="175"/>
      <c r="C733" s="175"/>
    </row>
    <row r="734">
      <c r="B734" s="175"/>
      <c r="C734" s="175"/>
    </row>
    <row r="735">
      <c r="B735" s="175"/>
      <c r="C735" s="175"/>
    </row>
    <row r="736">
      <c r="B736" s="175"/>
      <c r="C736" s="175"/>
    </row>
    <row r="737">
      <c r="B737" s="175"/>
      <c r="C737" s="175"/>
    </row>
    <row r="738">
      <c r="B738" s="175"/>
      <c r="C738" s="175"/>
    </row>
    <row r="739">
      <c r="B739" s="175"/>
      <c r="C739" s="175"/>
    </row>
    <row r="740">
      <c r="B740" s="175"/>
      <c r="C740" s="175"/>
    </row>
    <row r="741">
      <c r="B741" s="175"/>
      <c r="C741" s="175"/>
    </row>
    <row r="742">
      <c r="B742" s="175"/>
      <c r="C742" s="175"/>
    </row>
    <row r="743">
      <c r="B743" s="175"/>
      <c r="C743" s="175"/>
    </row>
    <row r="744">
      <c r="B744" s="175"/>
      <c r="C744" s="175"/>
    </row>
    <row r="745">
      <c r="B745" s="175"/>
      <c r="C745" s="175"/>
    </row>
    <row r="746">
      <c r="B746" s="175"/>
      <c r="C746" s="175"/>
    </row>
    <row r="747">
      <c r="B747" s="175"/>
      <c r="C747" s="175"/>
    </row>
    <row r="748">
      <c r="B748" s="175"/>
      <c r="C748" s="175"/>
    </row>
    <row r="749">
      <c r="B749" s="175"/>
      <c r="C749" s="175"/>
    </row>
    <row r="750">
      <c r="B750" s="175"/>
      <c r="C750" s="175"/>
    </row>
    <row r="751">
      <c r="B751" s="175"/>
      <c r="C751" s="175"/>
    </row>
    <row r="752">
      <c r="B752" s="175"/>
      <c r="C752" s="175"/>
    </row>
    <row r="753">
      <c r="B753" s="175"/>
      <c r="C753" s="175"/>
    </row>
    <row r="754">
      <c r="B754" s="175"/>
      <c r="C754" s="175"/>
    </row>
    <row r="755">
      <c r="B755" s="175"/>
      <c r="C755" s="175"/>
    </row>
    <row r="756">
      <c r="B756" s="175"/>
      <c r="C756" s="175"/>
    </row>
    <row r="757">
      <c r="B757" s="175"/>
      <c r="C757" s="175"/>
    </row>
    <row r="758">
      <c r="B758" s="175"/>
      <c r="C758" s="175"/>
    </row>
    <row r="759">
      <c r="B759" s="175"/>
      <c r="C759" s="175"/>
    </row>
    <row r="760">
      <c r="B760" s="175"/>
      <c r="C760" s="175"/>
    </row>
    <row r="761">
      <c r="B761" s="175"/>
      <c r="C761" s="175"/>
    </row>
    <row r="762">
      <c r="B762" s="175"/>
      <c r="C762" s="175"/>
    </row>
    <row r="763">
      <c r="B763" s="175"/>
      <c r="C763" s="175"/>
    </row>
    <row r="764">
      <c r="B764" s="175"/>
      <c r="C764" s="175"/>
    </row>
    <row r="765">
      <c r="B765" s="175"/>
      <c r="C765" s="175"/>
    </row>
    <row r="766">
      <c r="B766" s="175"/>
      <c r="C766" s="175"/>
    </row>
    <row r="767">
      <c r="B767" s="175"/>
      <c r="C767" s="175"/>
    </row>
    <row r="768">
      <c r="B768" s="175"/>
      <c r="C768" s="175"/>
    </row>
    <row r="769">
      <c r="B769" s="175"/>
      <c r="C769" s="175"/>
    </row>
    <row r="770">
      <c r="B770" s="175"/>
      <c r="C770" s="175"/>
    </row>
    <row r="771">
      <c r="B771" s="175"/>
      <c r="C771" s="175"/>
    </row>
    <row r="772">
      <c r="B772" s="175"/>
      <c r="C772" s="175"/>
    </row>
    <row r="773">
      <c r="B773" s="175"/>
      <c r="C773" s="175"/>
    </row>
    <row r="774">
      <c r="B774" s="175"/>
      <c r="C774" s="175"/>
    </row>
    <row r="775">
      <c r="B775" s="175"/>
      <c r="C775" s="175"/>
    </row>
    <row r="776">
      <c r="B776" s="175"/>
      <c r="C776" s="175"/>
    </row>
    <row r="777">
      <c r="B777" s="175"/>
      <c r="C777" s="175"/>
    </row>
    <row r="778">
      <c r="B778" s="175"/>
      <c r="C778" s="175"/>
    </row>
    <row r="779">
      <c r="B779" s="175"/>
      <c r="C779" s="175"/>
    </row>
    <row r="780">
      <c r="B780" s="175"/>
      <c r="C780" s="175"/>
    </row>
    <row r="781">
      <c r="B781" s="175"/>
      <c r="C781" s="175"/>
    </row>
    <row r="782">
      <c r="B782" s="175"/>
      <c r="C782" s="175"/>
    </row>
    <row r="783">
      <c r="B783" s="175"/>
      <c r="C783" s="175"/>
    </row>
    <row r="784">
      <c r="B784" s="175"/>
      <c r="C784" s="175"/>
    </row>
    <row r="785">
      <c r="B785" s="175"/>
      <c r="C785" s="175"/>
    </row>
    <row r="786">
      <c r="B786" s="175"/>
      <c r="C786" s="175"/>
    </row>
    <row r="787">
      <c r="B787" s="175"/>
      <c r="C787" s="175"/>
    </row>
    <row r="788">
      <c r="B788" s="175"/>
      <c r="C788" s="175"/>
    </row>
    <row r="789">
      <c r="B789" s="175"/>
      <c r="C789" s="175"/>
    </row>
    <row r="790">
      <c r="B790" s="175"/>
      <c r="C790" s="175"/>
    </row>
    <row r="791">
      <c r="B791" s="175"/>
      <c r="C791" s="175"/>
    </row>
    <row r="792">
      <c r="B792" s="175"/>
      <c r="C792" s="175"/>
    </row>
    <row r="793">
      <c r="B793" s="175"/>
      <c r="C793" s="175"/>
    </row>
    <row r="794">
      <c r="B794" s="175"/>
      <c r="C794" s="175"/>
    </row>
    <row r="795">
      <c r="B795" s="175"/>
      <c r="C795" s="175"/>
    </row>
    <row r="796">
      <c r="B796" s="175"/>
      <c r="C796" s="175"/>
    </row>
    <row r="797">
      <c r="B797" s="175"/>
      <c r="C797" s="175"/>
    </row>
    <row r="798">
      <c r="B798" s="175"/>
      <c r="C798" s="175"/>
    </row>
    <row r="799">
      <c r="B799" s="175"/>
      <c r="C799" s="175"/>
    </row>
    <row r="800">
      <c r="B800" s="175"/>
      <c r="C800" s="175"/>
    </row>
    <row r="801">
      <c r="B801" s="175"/>
      <c r="C801" s="175"/>
    </row>
    <row r="802">
      <c r="B802" s="175"/>
      <c r="C802" s="175"/>
    </row>
    <row r="803">
      <c r="B803" s="175"/>
      <c r="C803" s="175"/>
    </row>
    <row r="804">
      <c r="B804" s="175"/>
      <c r="C804" s="175"/>
    </row>
    <row r="805">
      <c r="B805" s="175"/>
      <c r="C805" s="175"/>
    </row>
    <row r="806">
      <c r="B806" s="175"/>
      <c r="C806" s="175"/>
    </row>
    <row r="807">
      <c r="B807" s="175"/>
      <c r="C807" s="175"/>
    </row>
    <row r="808">
      <c r="B808" s="175"/>
      <c r="C808" s="175"/>
    </row>
    <row r="809">
      <c r="B809" s="175"/>
      <c r="C809" s="175"/>
    </row>
    <row r="810">
      <c r="B810" s="175"/>
      <c r="C810" s="175"/>
    </row>
    <row r="811">
      <c r="B811" s="175"/>
      <c r="C811" s="175"/>
    </row>
    <row r="812">
      <c r="B812" s="175"/>
      <c r="C812" s="175"/>
    </row>
    <row r="813">
      <c r="B813" s="175"/>
      <c r="C813" s="175"/>
    </row>
    <row r="814">
      <c r="B814" s="175"/>
      <c r="C814" s="175"/>
    </row>
    <row r="815">
      <c r="B815" s="175"/>
      <c r="C815" s="175"/>
    </row>
    <row r="816">
      <c r="B816" s="175"/>
      <c r="C816" s="175"/>
    </row>
    <row r="817">
      <c r="B817" s="175"/>
      <c r="C817" s="175"/>
    </row>
    <row r="818">
      <c r="B818" s="175"/>
      <c r="C818" s="175"/>
    </row>
    <row r="819">
      <c r="B819" s="175"/>
      <c r="C819" s="175"/>
    </row>
    <row r="820">
      <c r="B820" s="175"/>
      <c r="C820" s="175"/>
    </row>
    <row r="821">
      <c r="B821" s="175"/>
      <c r="C821" s="175"/>
    </row>
    <row r="822">
      <c r="B822" s="175"/>
      <c r="C822" s="175"/>
    </row>
    <row r="823">
      <c r="B823" s="175"/>
      <c r="C823" s="175"/>
    </row>
    <row r="824">
      <c r="B824" s="175"/>
      <c r="C824" s="175"/>
    </row>
    <row r="825">
      <c r="B825" s="175"/>
      <c r="C825" s="175"/>
    </row>
    <row r="826">
      <c r="B826" s="175"/>
      <c r="C826" s="175"/>
    </row>
    <row r="827">
      <c r="B827" s="175"/>
      <c r="C827" s="175"/>
    </row>
    <row r="828">
      <c r="B828" s="175"/>
      <c r="C828" s="175"/>
    </row>
    <row r="829">
      <c r="B829" s="175"/>
      <c r="C829" s="175"/>
    </row>
    <row r="830">
      <c r="B830" s="175"/>
      <c r="C830" s="175"/>
    </row>
    <row r="831">
      <c r="B831" s="175"/>
      <c r="C831" s="175"/>
    </row>
    <row r="832">
      <c r="B832" s="175"/>
      <c r="C832" s="175"/>
    </row>
    <row r="833">
      <c r="B833" s="175"/>
      <c r="C833" s="175"/>
    </row>
    <row r="834">
      <c r="B834" s="175"/>
      <c r="C834" s="175"/>
    </row>
    <row r="835">
      <c r="B835" s="175"/>
      <c r="C835" s="175"/>
    </row>
    <row r="836">
      <c r="B836" s="175"/>
      <c r="C836" s="175"/>
    </row>
    <row r="837">
      <c r="B837" s="175"/>
      <c r="C837" s="175"/>
    </row>
    <row r="838">
      <c r="B838" s="175"/>
      <c r="C838" s="175"/>
    </row>
    <row r="839">
      <c r="B839" s="175"/>
      <c r="C839" s="175"/>
    </row>
    <row r="840">
      <c r="B840" s="175"/>
      <c r="C840" s="175"/>
    </row>
    <row r="841">
      <c r="B841" s="175"/>
      <c r="C841" s="175"/>
    </row>
    <row r="842">
      <c r="B842" s="175"/>
      <c r="C842" s="175"/>
    </row>
    <row r="843">
      <c r="B843" s="175"/>
      <c r="C843" s="175"/>
    </row>
    <row r="844">
      <c r="B844" s="175"/>
      <c r="C844" s="175"/>
    </row>
    <row r="845">
      <c r="B845" s="175"/>
      <c r="C845" s="175"/>
    </row>
    <row r="846">
      <c r="B846" s="175"/>
      <c r="C846" s="175"/>
    </row>
    <row r="847">
      <c r="B847" s="175"/>
      <c r="C847" s="175"/>
    </row>
    <row r="848">
      <c r="B848" s="175"/>
      <c r="C848" s="175"/>
    </row>
    <row r="849">
      <c r="B849" s="175"/>
      <c r="C849" s="175"/>
    </row>
    <row r="850">
      <c r="B850" s="175"/>
      <c r="C850" s="175"/>
    </row>
    <row r="851">
      <c r="B851" s="175"/>
      <c r="C851" s="175"/>
    </row>
    <row r="852">
      <c r="B852" s="175"/>
      <c r="C852" s="175"/>
    </row>
    <row r="853">
      <c r="B853" s="175"/>
      <c r="C853" s="175"/>
    </row>
    <row r="854">
      <c r="B854" s="175"/>
      <c r="C854" s="175"/>
    </row>
    <row r="855">
      <c r="B855" s="175"/>
      <c r="C855" s="175"/>
    </row>
    <row r="856">
      <c r="B856" s="175"/>
      <c r="C856" s="175"/>
    </row>
    <row r="857">
      <c r="B857" s="175"/>
      <c r="C857" s="175"/>
    </row>
    <row r="858">
      <c r="B858" s="175"/>
      <c r="C858" s="175"/>
    </row>
    <row r="859">
      <c r="B859" s="175"/>
      <c r="C859" s="175"/>
    </row>
    <row r="860">
      <c r="B860" s="175"/>
      <c r="C860" s="175"/>
    </row>
    <row r="861">
      <c r="B861" s="175"/>
      <c r="C861" s="175"/>
    </row>
    <row r="862">
      <c r="B862" s="175"/>
      <c r="C862" s="175"/>
    </row>
    <row r="863">
      <c r="B863" s="175"/>
      <c r="C863" s="175"/>
    </row>
    <row r="864">
      <c r="B864" s="175"/>
      <c r="C864" s="175"/>
    </row>
    <row r="865">
      <c r="B865" s="175"/>
      <c r="C865" s="175"/>
    </row>
    <row r="866">
      <c r="B866" s="175"/>
      <c r="C866" s="175"/>
    </row>
    <row r="867">
      <c r="B867" s="175"/>
      <c r="C867" s="175"/>
    </row>
    <row r="868">
      <c r="B868" s="175"/>
      <c r="C868" s="175"/>
    </row>
    <row r="869">
      <c r="B869" s="175"/>
      <c r="C869" s="175"/>
    </row>
    <row r="870">
      <c r="B870" s="175"/>
      <c r="C870" s="175"/>
    </row>
    <row r="871">
      <c r="B871" s="175"/>
      <c r="C871" s="175"/>
    </row>
    <row r="872">
      <c r="B872" s="175"/>
      <c r="C872" s="175"/>
    </row>
    <row r="873">
      <c r="B873" s="175"/>
      <c r="C873" s="175"/>
    </row>
    <row r="874">
      <c r="B874" s="175"/>
      <c r="C874" s="175"/>
    </row>
    <row r="875">
      <c r="B875" s="175"/>
      <c r="C875" s="175"/>
    </row>
    <row r="876">
      <c r="B876" s="175"/>
      <c r="C876" s="175"/>
    </row>
    <row r="877">
      <c r="B877" s="175"/>
      <c r="C877" s="175"/>
    </row>
    <row r="878">
      <c r="B878" s="175"/>
      <c r="C878" s="175"/>
    </row>
    <row r="879">
      <c r="B879" s="175"/>
      <c r="C879" s="175"/>
    </row>
    <row r="880">
      <c r="B880" s="175"/>
      <c r="C880" s="175"/>
    </row>
    <row r="881">
      <c r="B881" s="175"/>
      <c r="C881" s="175"/>
    </row>
    <row r="882">
      <c r="B882" s="175"/>
      <c r="C882" s="175"/>
    </row>
    <row r="883">
      <c r="B883" s="175"/>
      <c r="C883" s="175"/>
    </row>
    <row r="884">
      <c r="B884" s="175"/>
      <c r="C884" s="175"/>
    </row>
    <row r="885">
      <c r="B885" s="175"/>
      <c r="C885" s="175"/>
    </row>
    <row r="886">
      <c r="B886" s="175"/>
      <c r="C886" s="175"/>
    </row>
    <row r="887">
      <c r="B887" s="175"/>
      <c r="C887" s="175"/>
    </row>
    <row r="888">
      <c r="B888" s="175"/>
      <c r="C888" s="175"/>
    </row>
    <row r="889">
      <c r="B889" s="175"/>
      <c r="C889" s="175"/>
    </row>
    <row r="890">
      <c r="B890" s="175"/>
      <c r="C890" s="175"/>
    </row>
    <row r="891">
      <c r="B891" s="175"/>
      <c r="C891" s="175"/>
    </row>
    <row r="892">
      <c r="B892" s="175"/>
      <c r="C892" s="175"/>
    </row>
    <row r="893">
      <c r="B893" s="175"/>
      <c r="C893" s="175"/>
    </row>
    <row r="894">
      <c r="B894" s="175"/>
      <c r="C894" s="175"/>
    </row>
    <row r="895">
      <c r="B895" s="175"/>
      <c r="C895" s="175"/>
    </row>
    <row r="896">
      <c r="B896" s="175"/>
      <c r="C896" s="175"/>
    </row>
    <row r="897">
      <c r="B897" s="175"/>
      <c r="C897" s="175"/>
    </row>
    <row r="898">
      <c r="B898" s="175"/>
      <c r="C898" s="175"/>
    </row>
    <row r="899">
      <c r="B899" s="175"/>
      <c r="C899" s="175"/>
    </row>
    <row r="900">
      <c r="B900" s="175"/>
      <c r="C900" s="175"/>
    </row>
    <row r="901">
      <c r="B901" s="175"/>
      <c r="C901" s="175"/>
    </row>
    <row r="902">
      <c r="B902" s="175"/>
      <c r="C902" s="175"/>
    </row>
    <row r="903">
      <c r="B903" s="175"/>
      <c r="C903" s="175"/>
    </row>
    <row r="904">
      <c r="B904" s="175"/>
      <c r="C904" s="175"/>
    </row>
    <row r="905">
      <c r="B905" s="175"/>
      <c r="C905" s="175"/>
    </row>
    <row r="906">
      <c r="B906" s="175"/>
      <c r="C906" s="175"/>
    </row>
    <row r="907">
      <c r="B907" s="175"/>
      <c r="C907" s="175"/>
    </row>
    <row r="908">
      <c r="B908" s="175"/>
      <c r="C908" s="175"/>
    </row>
    <row r="909">
      <c r="B909" s="175"/>
      <c r="C909" s="175"/>
    </row>
    <row r="910">
      <c r="B910" s="175"/>
      <c r="C910" s="175"/>
    </row>
    <row r="911">
      <c r="B911" s="175"/>
      <c r="C911" s="175"/>
    </row>
    <row r="912">
      <c r="B912" s="175"/>
      <c r="C912" s="175"/>
    </row>
    <row r="913">
      <c r="B913" s="175"/>
      <c r="C913" s="175"/>
    </row>
    <row r="914">
      <c r="B914" s="175"/>
      <c r="C914" s="175"/>
    </row>
    <row r="915">
      <c r="B915" s="175"/>
      <c r="C915" s="175"/>
    </row>
    <row r="916">
      <c r="B916" s="175"/>
      <c r="C916" s="175"/>
    </row>
    <row r="917">
      <c r="B917" s="175"/>
      <c r="C917" s="175"/>
    </row>
    <row r="918">
      <c r="B918" s="175"/>
      <c r="C918" s="175"/>
    </row>
    <row r="919">
      <c r="B919" s="175"/>
      <c r="C919" s="175"/>
    </row>
    <row r="920">
      <c r="B920" s="175"/>
      <c r="C920" s="175"/>
    </row>
    <row r="921">
      <c r="B921" s="175"/>
      <c r="C921" s="175"/>
    </row>
    <row r="922">
      <c r="B922" s="175"/>
      <c r="C922" s="175"/>
    </row>
    <row r="923">
      <c r="B923" s="175"/>
      <c r="C923" s="175"/>
    </row>
    <row r="924">
      <c r="B924" s="175"/>
      <c r="C924" s="175"/>
    </row>
    <row r="925">
      <c r="B925" s="175"/>
      <c r="C925" s="175"/>
    </row>
    <row r="926">
      <c r="B926" s="175"/>
      <c r="C926" s="175"/>
    </row>
    <row r="927">
      <c r="B927" s="175"/>
      <c r="C927" s="175"/>
    </row>
    <row r="928">
      <c r="B928" s="175"/>
      <c r="C928" s="175"/>
    </row>
    <row r="929">
      <c r="B929" s="175"/>
      <c r="C929" s="175"/>
    </row>
    <row r="930">
      <c r="B930" s="175"/>
      <c r="C930" s="175"/>
    </row>
    <row r="931">
      <c r="B931" s="175"/>
      <c r="C931" s="175"/>
    </row>
    <row r="932">
      <c r="B932" s="175"/>
      <c r="C932" s="175"/>
    </row>
    <row r="933">
      <c r="B933" s="175"/>
      <c r="C933" s="175"/>
    </row>
    <row r="934">
      <c r="B934" s="175"/>
      <c r="C934" s="175"/>
    </row>
    <row r="935">
      <c r="B935" s="175"/>
      <c r="C935" s="175"/>
    </row>
    <row r="936">
      <c r="B936" s="175"/>
      <c r="C936" s="175"/>
    </row>
    <row r="937">
      <c r="B937" s="175"/>
      <c r="C937" s="175"/>
    </row>
    <row r="938">
      <c r="B938" s="175"/>
      <c r="C938" s="175"/>
    </row>
    <row r="939">
      <c r="B939" s="175"/>
      <c r="C939" s="175"/>
    </row>
    <row r="940">
      <c r="B940" s="175"/>
      <c r="C940" s="175"/>
    </row>
    <row r="941">
      <c r="B941" s="175"/>
      <c r="C941" s="175"/>
    </row>
    <row r="942">
      <c r="B942" s="175"/>
      <c r="C942" s="175"/>
    </row>
    <row r="943">
      <c r="B943" s="175"/>
      <c r="C943" s="175"/>
    </row>
    <row r="944">
      <c r="B944" s="175"/>
      <c r="C944" s="175"/>
    </row>
    <row r="945">
      <c r="B945" s="175"/>
      <c r="C945" s="175"/>
    </row>
    <row r="946">
      <c r="B946" s="175"/>
      <c r="C946" s="175"/>
    </row>
    <row r="947">
      <c r="B947" s="175"/>
      <c r="C947" s="175"/>
    </row>
    <row r="948">
      <c r="B948" s="175"/>
      <c r="C948" s="175"/>
    </row>
    <row r="949">
      <c r="B949" s="175"/>
      <c r="C949" s="175"/>
    </row>
    <row r="950">
      <c r="B950" s="175"/>
      <c r="C950" s="175"/>
    </row>
    <row r="951">
      <c r="B951" s="175"/>
      <c r="C951" s="175"/>
    </row>
    <row r="952">
      <c r="B952" s="175"/>
      <c r="C952" s="175"/>
    </row>
    <row r="953">
      <c r="B953" s="175"/>
      <c r="C953" s="175"/>
    </row>
    <row r="954">
      <c r="B954" s="175"/>
      <c r="C954" s="175"/>
    </row>
    <row r="955">
      <c r="B955" s="175"/>
      <c r="C955" s="175"/>
    </row>
    <row r="956">
      <c r="B956" s="175"/>
      <c r="C956" s="175"/>
    </row>
    <row r="957">
      <c r="B957" s="175"/>
      <c r="C957" s="175"/>
    </row>
    <row r="958">
      <c r="B958" s="175"/>
      <c r="C958" s="175"/>
    </row>
    <row r="959">
      <c r="B959" s="175"/>
      <c r="C959" s="175"/>
    </row>
    <row r="960">
      <c r="B960" s="175"/>
      <c r="C960" s="175"/>
    </row>
    <row r="961">
      <c r="B961" s="175"/>
      <c r="C961" s="175"/>
    </row>
    <row r="962">
      <c r="B962" s="175"/>
      <c r="C962" s="175"/>
    </row>
    <row r="963">
      <c r="B963" s="175"/>
      <c r="C963" s="175"/>
    </row>
    <row r="964">
      <c r="B964" s="175"/>
      <c r="C964" s="175"/>
    </row>
    <row r="965">
      <c r="B965" s="175"/>
      <c r="C965" s="175"/>
    </row>
    <row r="966">
      <c r="B966" s="175"/>
      <c r="C966" s="175"/>
    </row>
    <row r="967">
      <c r="B967" s="175"/>
      <c r="C967" s="175"/>
    </row>
    <row r="968">
      <c r="B968" s="175"/>
      <c r="C968" s="175"/>
    </row>
    <row r="969">
      <c r="B969" s="175"/>
      <c r="C969" s="175"/>
    </row>
    <row r="970">
      <c r="B970" s="175"/>
      <c r="C970" s="175"/>
    </row>
    <row r="971">
      <c r="B971" s="175"/>
      <c r="C971" s="175"/>
    </row>
    <row r="972">
      <c r="B972" s="175"/>
      <c r="C972" s="175"/>
    </row>
    <row r="973">
      <c r="B973" s="175"/>
      <c r="C973" s="175"/>
    </row>
    <row r="974">
      <c r="B974" s="175"/>
      <c r="C974" s="175"/>
    </row>
    <row r="975">
      <c r="B975" s="175"/>
      <c r="C975" s="175"/>
    </row>
    <row r="976">
      <c r="B976" s="175"/>
      <c r="C976" s="175"/>
    </row>
    <row r="977">
      <c r="B977" s="175"/>
      <c r="C977" s="175"/>
    </row>
    <row r="978">
      <c r="B978" s="175"/>
      <c r="C978" s="175"/>
    </row>
    <row r="979">
      <c r="B979" s="175"/>
      <c r="C979" s="175"/>
    </row>
    <row r="980">
      <c r="B980" s="175"/>
      <c r="C980" s="175"/>
    </row>
    <row r="981">
      <c r="B981" s="175"/>
      <c r="C981" s="175"/>
    </row>
    <row r="982">
      <c r="B982" s="175"/>
      <c r="C982" s="175"/>
    </row>
    <row r="983">
      <c r="B983" s="175"/>
      <c r="C983" s="175"/>
    </row>
    <row r="984">
      <c r="B984" s="175"/>
      <c r="C984" s="175"/>
    </row>
    <row r="985">
      <c r="B985" s="175"/>
      <c r="C985" s="175"/>
    </row>
    <row r="986">
      <c r="B986" s="175"/>
      <c r="C986" s="175"/>
    </row>
    <row r="987">
      <c r="B987" s="175"/>
      <c r="C987" s="175"/>
    </row>
    <row r="988">
      <c r="B988" s="175"/>
      <c r="C988" s="175"/>
    </row>
    <row r="989">
      <c r="B989" s="175"/>
      <c r="C989" s="175"/>
    </row>
    <row r="990">
      <c r="B990" s="175"/>
      <c r="C990" s="175"/>
    </row>
    <row r="991">
      <c r="B991" s="175"/>
      <c r="C991" s="175"/>
    </row>
    <row r="992">
      <c r="B992" s="175"/>
      <c r="C992" s="175"/>
    </row>
    <row r="993">
      <c r="B993" s="175"/>
      <c r="C993" s="175"/>
    </row>
    <row r="994">
      <c r="B994" s="175"/>
      <c r="C994" s="175"/>
    </row>
    <row r="995">
      <c r="B995" s="175"/>
      <c r="C995" s="175"/>
    </row>
    <row r="996">
      <c r="B996" s="175"/>
      <c r="C996" s="175"/>
    </row>
    <row r="997">
      <c r="B997" s="175"/>
      <c r="C997" s="175"/>
    </row>
    <row r="998">
      <c r="B998" s="175"/>
      <c r="C998" s="175"/>
    </row>
    <row r="999">
      <c r="B999" s="175"/>
      <c r="C999" s="175"/>
    </row>
    <row r="1000">
      <c r="B1000" s="175"/>
      <c r="C1000" s="175"/>
    </row>
    <row r="1001">
      <c r="B1001" s="175"/>
      <c r="C1001" s="17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74" t="s">
        <v>429</v>
      </c>
    </row>
    <row r="2">
      <c r="B2" s="175"/>
    </row>
    <row r="3">
      <c r="B3" s="177" t="s">
        <v>430</v>
      </c>
    </row>
    <row r="6">
      <c r="B6" s="163"/>
    </row>
    <row r="7">
      <c r="B7" s="163" t="s">
        <v>431</v>
      </c>
    </row>
    <row r="8">
      <c r="B8" s="175"/>
    </row>
    <row r="9">
      <c r="B9" s="177" t="s">
        <v>432</v>
      </c>
    </row>
    <row r="11">
      <c r="B11" s="175"/>
    </row>
    <row r="12">
      <c r="B12" s="163" t="s">
        <v>433</v>
      </c>
    </row>
    <row r="13">
      <c r="B13" s="175"/>
    </row>
    <row r="14">
      <c r="B14" s="177" t="s">
        <v>434</v>
      </c>
    </row>
    <row r="16">
      <c r="B16" s="175"/>
    </row>
    <row r="17">
      <c r="B17" s="177" t="s">
        <v>435</v>
      </c>
    </row>
    <row r="20">
      <c r="B20" s="175"/>
    </row>
    <row r="21">
      <c r="B21" s="177" t="s">
        <v>436</v>
      </c>
    </row>
    <row r="23">
      <c r="B23" s="175"/>
    </row>
    <row r="24">
      <c r="B24" s="175"/>
    </row>
    <row r="25">
      <c r="B25" s="175"/>
    </row>
    <row r="26">
      <c r="B26" s="175"/>
    </row>
    <row r="27">
      <c r="B27" s="175"/>
    </row>
    <row r="28">
      <c r="B28" s="175"/>
    </row>
    <row r="29">
      <c r="B29" s="175"/>
    </row>
    <row r="30">
      <c r="B30" s="175"/>
    </row>
    <row r="31">
      <c r="B31" s="175"/>
    </row>
    <row r="32">
      <c r="B32" s="175"/>
    </row>
    <row r="33">
      <c r="B33" s="175"/>
    </row>
    <row r="34">
      <c r="B34" s="175"/>
    </row>
    <row r="35">
      <c r="B35" s="175"/>
    </row>
    <row r="36">
      <c r="B36" s="175"/>
    </row>
    <row r="37">
      <c r="B37" s="175"/>
    </row>
    <row r="38">
      <c r="B38" s="175"/>
    </row>
    <row r="39">
      <c r="B39" s="175"/>
    </row>
    <row r="40">
      <c r="B40" s="175"/>
    </row>
    <row r="41">
      <c r="B41" s="175"/>
    </row>
    <row r="42">
      <c r="B42" s="175"/>
    </row>
    <row r="43">
      <c r="B43" s="175"/>
    </row>
    <row r="44">
      <c r="B44" s="175"/>
    </row>
    <row r="45">
      <c r="B45" s="175"/>
    </row>
    <row r="46">
      <c r="B46" s="175"/>
    </row>
    <row r="47">
      <c r="B47" s="175"/>
    </row>
    <row r="48">
      <c r="B48" s="175"/>
    </row>
    <row r="49">
      <c r="B49" s="175"/>
    </row>
    <row r="50">
      <c r="B50" s="175"/>
    </row>
    <row r="51">
      <c r="B51" s="175"/>
    </row>
    <row r="52">
      <c r="B52" s="175"/>
    </row>
    <row r="53">
      <c r="B53" s="175"/>
    </row>
    <row r="54">
      <c r="B54" s="175"/>
    </row>
    <row r="55">
      <c r="B55" s="175"/>
    </row>
    <row r="56">
      <c r="B56" s="175"/>
    </row>
    <row r="57">
      <c r="B57" s="175"/>
    </row>
    <row r="58">
      <c r="B58" s="175"/>
    </row>
    <row r="59">
      <c r="B59" s="175"/>
    </row>
    <row r="60">
      <c r="B60" s="175"/>
    </row>
    <row r="61">
      <c r="B61" s="175"/>
    </row>
    <row r="62">
      <c r="B62" s="175"/>
    </row>
    <row r="63">
      <c r="B63" s="175"/>
    </row>
    <row r="64">
      <c r="B64" s="175"/>
    </row>
    <row r="65">
      <c r="B65" s="175"/>
    </row>
    <row r="66">
      <c r="B66" s="175"/>
    </row>
    <row r="67">
      <c r="B67" s="175"/>
    </row>
    <row r="68">
      <c r="B68" s="175"/>
    </row>
    <row r="69">
      <c r="B69" s="175"/>
    </row>
    <row r="70">
      <c r="B70" s="175"/>
    </row>
    <row r="71">
      <c r="B71" s="175"/>
    </row>
    <row r="72">
      <c r="B72" s="175"/>
    </row>
    <row r="73">
      <c r="B73" s="175"/>
    </row>
    <row r="74">
      <c r="B74" s="175"/>
    </row>
    <row r="75">
      <c r="B75" s="175"/>
    </row>
    <row r="76">
      <c r="B76" s="175"/>
    </row>
    <row r="77">
      <c r="B77" s="175"/>
    </row>
    <row r="78">
      <c r="B78" s="175"/>
    </row>
    <row r="79">
      <c r="B79" s="175"/>
    </row>
    <row r="80">
      <c r="B80" s="175"/>
    </row>
    <row r="81">
      <c r="B81" s="175"/>
    </row>
    <row r="82">
      <c r="B82" s="175"/>
    </row>
    <row r="83">
      <c r="B83" s="175"/>
    </row>
    <row r="84">
      <c r="B84" s="175"/>
    </row>
    <row r="85">
      <c r="B85" s="175"/>
    </row>
    <row r="86">
      <c r="B86" s="175"/>
    </row>
    <row r="87">
      <c r="B87" s="175"/>
    </row>
    <row r="88">
      <c r="B88" s="175"/>
    </row>
    <row r="89">
      <c r="B89" s="175"/>
    </row>
    <row r="90">
      <c r="B90" s="175"/>
    </row>
    <row r="91">
      <c r="B91" s="175"/>
    </row>
    <row r="92">
      <c r="B92" s="175"/>
    </row>
    <row r="93">
      <c r="B93" s="175"/>
    </row>
    <row r="94">
      <c r="B94" s="175"/>
    </row>
    <row r="95">
      <c r="B95" s="175"/>
    </row>
    <row r="96">
      <c r="B96" s="175"/>
    </row>
    <row r="97">
      <c r="B97" s="175"/>
    </row>
    <row r="98">
      <c r="B98" s="175"/>
    </row>
    <row r="99">
      <c r="B99" s="175"/>
    </row>
    <row r="100">
      <c r="B100" s="175"/>
    </row>
    <row r="101">
      <c r="B101" s="175"/>
    </row>
    <row r="102">
      <c r="B102" s="175"/>
    </row>
    <row r="103">
      <c r="B103" s="175"/>
    </row>
    <row r="104">
      <c r="B104" s="175"/>
    </row>
    <row r="105">
      <c r="B105" s="175"/>
    </row>
    <row r="106">
      <c r="B106" s="175"/>
    </row>
    <row r="107">
      <c r="B107" s="175"/>
    </row>
    <row r="108">
      <c r="B108" s="175"/>
    </row>
    <row r="109">
      <c r="B109" s="175"/>
    </row>
    <row r="110">
      <c r="B110" s="175"/>
    </row>
    <row r="111">
      <c r="B111" s="175"/>
    </row>
    <row r="112">
      <c r="B112" s="175"/>
    </row>
    <row r="113">
      <c r="B113" s="175"/>
    </row>
    <row r="114">
      <c r="B114" s="175"/>
    </row>
    <row r="115">
      <c r="B115" s="175"/>
    </row>
    <row r="116">
      <c r="B116" s="175"/>
    </row>
    <row r="117">
      <c r="B117" s="175"/>
    </row>
    <row r="118">
      <c r="B118" s="175"/>
    </row>
    <row r="119">
      <c r="B119" s="175"/>
    </row>
    <row r="120">
      <c r="B120" s="175"/>
    </row>
    <row r="121">
      <c r="B121" s="175"/>
    </row>
    <row r="122">
      <c r="B122" s="175"/>
    </row>
    <row r="123">
      <c r="B123" s="175"/>
    </row>
    <row r="124">
      <c r="B124" s="175"/>
    </row>
    <row r="125">
      <c r="B125" s="175"/>
    </row>
    <row r="126">
      <c r="B126" s="175"/>
    </row>
    <row r="127">
      <c r="B127" s="175"/>
    </row>
    <row r="128">
      <c r="B128" s="175"/>
    </row>
    <row r="129">
      <c r="B129" s="175"/>
    </row>
    <row r="130">
      <c r="B130" s="175"/>
    </row>
    <row r="131">
      <c r="B131" s="175"/>
    </row>
    <row r="132">
      <c r="B132" s="175"/>
    </row>
    <row r="133">
      <c r="B133" s="175"/>
    </row>
    <row r="134">
      <c r="B134" s="175"/>
    </row>
    <row r="135">
      <c r="B135" s="175"/>
    </row>
    <row r="136">
      <c r="B136" s="175"/>
    </row>
    <row r="137">
      <c r="B137" s="175"/>
    </row>
    <row r="138">
      <c r="B138" s="175"/>
    </row>
    <row r="139">
      <c r="B139" s="175"/>
    </row>
    <row r="140">
      <c r="B140" s="175"/>
    </row>
    <row r="141">
      <c r="B141" s="175"/>
    </row>
    <row r="142">
      <c r="B142" s="175"/>
    </row>
    <row r="143">
      <c r="B143" s="175"/>
    </row>
    <row r="144">
      <c r="B144" s="175"/>
    </row>
    <row r="145">
      <c r="B145" s="175"/>
    </row>
    <row r="146">
      <c r="B146" s="175"/>
    </row>
    <row r="147">
      <c r="B147" s="175"/>
    </row>
    <row r="148">
      <c r="B148" s="175"/>
    </row>
    <row r="149">
      <c r="B149" s="175"/>
    </row>
    <row r="150">
      <c r="B150" s="175"/>
    </row>
    <row r="151">
      <c r="B151" s="175"/>
    </row>
    <row r="152">
      <c r="B152" s="175"/>
    </row>
    <row r="153">
      <c r="B153" s="175"/>
    </row>
    <row r="154">
      <c r="B154" s="175"/>
    </row>
    <row r="155">
      <c r="B155" s="175"/>
    </row>
    <row r="156">
      <c r="B156" s="175"/>
    </row>
    <row r="157">
      <c r="B157" s="175"/>
    </row>
    <row r="158">
      <c r="B158" s="175"/>
    </row>
    <row r="159">
      <c r="B159" s="175"/>
    </row>
    <row r="160">
      <c r="B160" s="175"/>
    </row>
    <row r="161">
      <c r="B161" s="175"/>
    </row>
    <row r="162">
      <c r="B162" s="175"/>
    </row>
    <row r="163">
      <c r="B163" s="175"/>
    </row>
    <row r="164">
      <c r="B164" s="175"/>
    </row>
    <row r="165">
      <c r="B165" s="175"/>
    </row>
    <row r="166">
      <c r="B166" s="175"/>
    </row>
    <row r="167">
      <c r="B167" s="175"/>
    </row>
    <row r="168">
      <c r="B168" s="175"/>
    </row>
    <row r="169">
      <c r="B169" s="175"/>
    </row>
    <row r="170">
      <c r="B170" s="175"/>
    </row>
    <row r="171">
      <c r="B171" s="175"/>
    </row>
    <row r="172">
      <c r="B172" s="175"/>
    </row>
    <row r="173">
      <c r="B173" s="175"/>
    </row>
    <row r="174">
      <c r="B174" s="175"/>
    </row>
    <row r="175">
      <c r="B175" s="175"/>
    </row>
    <row r="176">
      <c r="B176" s="175"/>
    </row>
    <row r="177">
      <c r="B177" s="175"/>
    </row>
    <row r="178">
      <c r="B178" s="175"/>
    </row>
    <row r="179">
      <c r="B179" s="175"/>
    </row>
    <row r="180">
      <c r="B180" s="175"/>
    </row>
    <row r="181">
      <c r="B181" s="175"/>
    </row>
    <row r="182">
      <c r="B182" s="175"/>
    </row>
    <row r="183">
      <c r="B183" s="175"/>
    </row>
    <row r="184">
      <c r="B184" s="175"/>
    </row>
    <row r="185">
      <c r="B185" s="175"/>
    </row>
    <row r="186">
      <c r="B186" s="175"/>
    </row>
    <row r="187">
      <c r="B187" s="175"/>
    </row>
    <row r="188">
      <c r="B188" s="175"/>
    </row>
    <row r="189">
      <c r="B189" s="175"/>
    </row>
    <row r="190">
      <c r="B190" s="175"/>
    </row>
    <row r="191">
      <c r="B191" s="175"/>
    </row>
    <row r="192">
      <c r="B192" s="175"/>
    </row>
    <row r="193">
      <c r="B193" s="175"/>
    </row>
    <row r="194">
      <c r="B194" s="175"/>
    </row>
    <row r="195">
      <c r="B195" s="175"/>
    </row>
    <row r="196">
      <c r="B196" s="175"/>
    </row>
    <row r="197">
      <c r="B197" s="175"/>
    </row>
    <row r="198">
      <c r="B198" s="175"/>
    </row>
    <row r="199">
      <c r="B199" s="175"/>
    </row>
    <row r="200">
      <c r="B200" s="175"/>
    </row>
    <row r="201">
      <c r="B201" s="175"/>
    </row>
    <row r="202">
      <c r="B202" s="175"/>
    </row>
    <row r="203">
      <c r="B203" s="175"/>
    </row>
    <row r="204">
      <c r="B204" s="175"/>
    </row>
    <row r="205">
      <c r="B205" s="175"/>
    </row>
    <row r="206">
      <c r="B206" s="175"/>
    </row>
    <row r="207">
      <c r="B207" s="175"/>
    </row>
    <row r="208">
      <c r="B208" s="175"/>
    </row>
    <row r="209">
      <c r="B209" s="175"/>
    </row>
    <row r="210">
      <c r="B210" s="175"/>
    </row>
    <row r="211">
      <c r="B211" s="175"/>
    </row>
    <row r="212">
      <c r="B212" s="175"/>
    </row>
    <row r="213">
      <c r="B213" s="175"/>
    </row>
    <row r="214">
      <c r="B214" s="175"/>
    </row>
    <row r="215">
      <c r="B215" s="175"/>
    </row>
    <row r="216">
      <c r="B216" s="175"/>
    </row>
    <row r="217">
      <c r="B217" s="175"/>
    </row>
    <row r="218">
      <c r="B218" s="175"/>
    </row>
    <row r="219">
      <c r="B219" s="175"/>
    </row>
    <row r="220">
      <c r="B220" s="175"/>
    </row>
    <row r="221">
      <c r="B221" s="175"/>
    </row>
    <row r="222">
      <c r="B222" s="175"/>
    </row>
    <row r="223">
      <c r="B223" s="175"/>
    </row>
    <row r="224">
      <c r="B224" s="175"/>
    </row>
    <row r="225">
      <c r="B225" s="175"/>
    </row>
    <row r="226">
      <c r="B226" s="175"/>
    </row>
    <row r="227">
      <c r="B227" s="175"/>
    </row>
    <row r="228">
      <c r="B228" s="175"/>
    </row>
    <row r="229">
      <c r="B229" s="175"/>
    </row>
    <row r="230">
      <c r="B230" s="175"/>
    </row>
    <row r="231">
      <c r="B231" s="175"/>
    </row>
    <row r="232">
      <c r="B232" s="175"/>
    </row>
    <row r="233">
      <c r="B233" s="175"/>
    </row>
    <row r="234">
      <c r="B234" s="175"/>
    </row>
    <row r="235">
      <c r="B235" s="175"/>
    </row>
    <row r="236">
      <c r="B236" s="175"/>
    </row>
    <row r="237">
      <c r="B237" s="175"/>
    </row>
    <row r="238">
      <c r="B238" s="175"/>
    </row>
    <row r="239">
      <c r="B239" s="175"/>
    </row>
    <row r="240">
      <c r="B240" s="175"/>
    </row>
    <row r="241">
      <c r="B241" s="175"/>
    </row>
    <row r="242">
      <c r="B242" s="175"/>
    </row>
    <row r="243">
      <c r="B243" s="175"/>
    </row>
    <row r="244">
      <c r="B244" s="175"/>
    </row>
    <row r="245">
      <c r="B245" s="175"/>
    </row>
    <row r="246">
      <c r="B246" s="175"/>
    </row>
    <row r="247">
      <c r="B247" s="175"/>
    </row>
    <row r="248">
      <c r="B248" s="175"/>
    </row>
    <row r="249">
      <c r="B249" s="175"/>
    </row>
    <row r="250">
      <c r="B250" s="175"/>
    </row>
    <row r="251">
      <c r="B251" s="175"/>
    </row>
    <row r="252">
      <c r="B252" s="175"/>
    </row>
    <row r="253">
      <c r="B253" s="175"/>
    </row>
    <row r="254">
      <c r="B254" s="175"/>
    </row>
    <row r="255">
      <c r="B255" s="175"/>
    </row>
    <row r="256">
      <c r="B256" s="175"/>
    </row>
    <row r="257">
      <c r="B257" s="175"/>
    </row>
    <row r="258">
      <c r="B258" s="175"/>
    </row>
    <row r="259">
      <c r="B259" s="175"/>
    </row>
    <row r="260">
      <c r="B260" s="175"/>
    </row>
    <row r="261">
      <c r="B261" s="175"/>
    </row>
    <row r="262">
      <c r="B262" s="175"/>
    </row>
    <row r="263">
      <c r="B263" s="175"/>
    </row>
    <row r="264">
      <c r="B264" s="175"/>
    </row>
    <row r="265">
      <c r="B265" s="175"/>
    </row>
    <row r="266">
      <c r="B266" s="175"/>
    </row>
    <row r="267">
      <c r="B267" s="175"/>
    </row>
    <row r="268">
      <c r="B268" s="175"/>
    </row>
    <row r="269">
      <c r="B269" s="175"/>
    </row>
    <row r="270">
      <c r="B270" s="175"/>
    </row>
    <row r="271">
      <c r="B271" s="175"/>
    </row>
    <row r="272">
      <c r="B272" s="175"/>
    </row>
    <row r="273">
      <c r="B273" s="175"/>
    </row>
    <row r="274">
      <c r="B274" s="175"/>
    </row>
    <row r="275">
      <c r="B275" s="175"/>
    </row>
    <row r="276">
      <c r="B276" s="175"/>
    </row>
    <row r="277">
      <c r="B277" s="175"/>
    </row>
    <row r="278">
      <c r="B278" s="175"/>
    </row>
    <row r="279">
      <c r="B279" s="175"/>
    </row>
    <row r="280">
      <c r="B280" s="175"/>
    </row>
    <row r="281">
      <c r="B281" s="175"/>
    </row>
    <row r="282">
      <c r="B282" s="175"/>
    </row>
    <row r="283">
      <c r="B283" s="175"/>
    </row>
    <row r="284">
      <c r="B284" s="175"/>
    </row>
    <row r="285">
      <c r="B285" s="175"/>
    </row>
    <row r="286">
      <c r="B286" s="175"/>
    </row>
    <row r="287">
      <c r="B287" s="175"/>
    </row>
    <row r="288">
      <c r="B288" s="175"/>
    </row>
    <row r="289">
      <c r="B289" s="175"/>
    </row>
    <row r="290">
      <c r="B290" s="175"/>
    </row>
    <row r="291">
      <c r="B291" s="175"/>
    </row>
    <row r="292">
      <c r="B292" s="175"/>
    </row>
    <row r="293">
      <c r="B293" s="175"/>
    </row>
    <row r="294">
      <c r="B294" s="175"/>
    </row>
    <row r="295">
      <c r="B295" s="175"/>
    </row>
    <row r="296">
      <c r="B296" s="175"/>
    </row>
    <row r="297">
      <c r="B297" s="175"/>
    </row>
    <row r="298">
      <c r="B298" s="175"/>
    </row>
    <row r="299">
      <c r="B299" s="175"/>
    </row>
    <row r="300">
      <c r="B300" s="175"/>
    </row>
    <row r="301">
      <c r="B301" s="175"/>
    </row>
    <row r="302">
      <c r="B302" s="175"/>
    </row>
    <row r="303">
      <c r="B303" s="175"/>
    </row>
    <row r="304">
      <c r="B304" s="175"/>
    </row>
    <row r="305">
      <c r="B305" s="175"/>
    </row>
    <row r="306">
      <c r="B306" s="175"/>
    </row>
    <row r="307">
      <c r="B307" s="175"/>
    </row>
    <row r="308">
      <c r="B308" s="175"/>
    </row>
    <row r="309">
      <c r="B309" s="175"/>
    </row>
    <row r="310">
      <c r="B310" s="175"/>
    </row>
    <row r="311">
      <c r="B311" s="175"/>
    </row>
    <row r="312">
      <c r="B312" s="175"/>
    </row>
    <row r="313">
      <c r="B313" s="175"/>
    </row>
    <row r="314">
      <c r="B314" s="175"/>
    </row>
    <row r="315">
      <c r="B315" s="175"/>
    </row>
    <row r="316">
      <c r="B316" s="175"/>
    </row>
    <row r="317">
      <c r="B317" s="175"/>
    </row>
    <row r="318">
      <c r="B318" s="175"/>
    </row>
    <row r="319">
      <c r="B319" s="175"/>
    </row>
    <row r="320">
      <c r="B320" s="175"/>
    </row>
    <row r="321">
      <c r="B321" s="175"/>
    </row>
    <row r="322">
      <c r="B322" s="175"/>
    </row>
    <row r="323">
      <c r="B323" s="175"/>
    </row>
    <row r="324">
      <c r="B324" s="175"/>
    </row>
    <row r="325">
      <c r="B325" s="175"/>
    </row>
    <row r="326">
      <c r="B326" s="175"/>
    </row>
    <row r="327">
      <c r="B327" s="175"/>
    </row>
    <row r="328">
      <c r="B328" s="175"/>
    </row>
    <row r="329">
      <c r="B329" s="175"/>
    </row>
    <row r="330">
      <c r="B330" s="175"/>
    </row>
    <row r="331">
      <c r="B331" s="175"/>
    </row>
    <row r="332">
      <c r="B332" s="175"/>
    </row>
    <row r="333">
      <c r="B333" s="175"/>
    </row>
    <row r="334">
      <c r="B334" s="175"/>
    </row>
    <row r="335">
      <c r="B335" s="175"/>
    </row>
    <row r="336">
      <c r="B336" s="175"/>
    </row>
    <row r="337">
      <c r="B337" s="175"/>
    </row>
    <row r="338">
      <c r="B338" s="175"/>
    </row>
    <row r="339">
      <c r="B339" s="175"/>
    </row>
    <row r="340">
      <c r="B340" s="175"/>
    </row>
    <row r="341">
      <c r="B341" s="175"/>
    </row>
    <row r="342">
      <c r="B342" s="175"/>
    </row>
    <row r="343">
      <c r="B343" s="175"/>
    </row>
    <row r="344">
      <c r="B344" s="175"/>
    </row>
    <row r="345">
      <c r="B345" s="175"/>
    </row>
    <row r="346">
      <c r="B346" s="175"/>
    </row>
    <row r="347">
      <c r="B347" s="175"/>
    </row>
    <row r="348">
      <c r="B348" s="175"/>
    </row>
    <row r="349">
      <c r="B349" s="175"/>
    </row>
    <row r="350">
      <c r="B350" s="175"/>
    </row>
    <row r="351">
      <c r="B351" s="175"/>
    </row>
    <row r="352">
      <c r="B352" s="175"/>
    </row>
    <row r="353">
      <c r="B353" s="175"/>
    </row>
    <row r="354">
      <c r="B354" s="175"/>
    </row>
    <row r="355">
      <c r="B355" s="175"/>
    </row>
    <row r="356">
      <c r="B356" s="175"/>
    </row>
    <row r="357">
      <c r="B357" s="175"/>
    </row>
    <row r="358">
      <c r="B358" s="175"/>
    </row>
    <row r="359">
      <c r="B359" s="175"/>
    </row>
    <row r="360">
      <c r="B360" s="175"/>
    </row>
    <row r="361">
      <c r="B361" s="175"/>
    </row>
    <row r="362">
      <c r="B362" s="175"/>
    </row>
    <row r="363">
      <c r="B363" s="175"/>
    </row>
    <row r="364">
      <c r="B364" s="175"/>
    </row>
    <row r="365">
      <c r="B365" s="175"/>
    </row>
    <row r="366">
      <c r="B366" s="175"/>
    </row>
    <row r="367">
      <c r="B367" s="175"/>
    </row>
    <row r="368">
      <c r="B368" s="175"/>
    </row>
    <row r="369">
      <c r="B369" s="175"/>
    </row>
    <row r="370">
      <c r="B370" s="175"/>
    </row>
    <row r="371">
      <c r="B371" s="175"/>
    </row>
    <row r="372">
      <c r="B372" s="175"/>
    </row>
    <row r="373">
      <c r="B373" s="175"/>
    </row>
    <row r="374">
      <c r="B374" s="175"/>
    </row>
    <row r="375">
      <c r="B375" s="175"/>
    </row>
    <row r="376">
      <c r="B376" s="175"/>
    </row>
    <row r="377">
      <c r="B377" s="175"/>
    </row>
    <row r="378">
      <c r="B378" s="175"/>
    </row>
    <row r="379">
      <c r="B379" s="175"/>
    </row>
    <row r="380">
      <c r="B380" s="175"/>
    </row>
    <row r="381">
      <c r="B381" s="175"/>
    </row>
    <row r="382">
      <c r="B382" s="175"/>
    </row>
    <row r="383">
      <c r="B383" s="175"/>
    </row>
    <row r="384">
      <c r="B384" s="175"/>
    </row>
    <row r="385">
      <c r="B385" s="175"/>
    </row>
    <row r="386">
      <c r="B386" s="175"/>
    </row>
    <row r="387">
      <c r="B387" s="175"/>
    </row>
    <row r="388">
      <c r="B388" s="175"/>
    </row>
    <row r="389">
      <c r="B389" s="175"/>
    </row>
    <row r="390">
      <c r="B390" s="175"/>
    </row>
    <row r="391">
      <c r="B391" s="175"/>
    </row>
    <row r="392">
      <c r="B392" s="175"/>
    </row>
    <row r="393">
      <c r="B393" s="175"/>
    </row>
    <row r="394">
      <c r="B394" s="175"/>
    </row>
    <row r="395">
      <c r="B395" s="175"/>
    </row>
    <row r="396">
      <c r="B396" s="175"/>
    </row>
    <row r="397">
      <c r="B397" s="175"/>
    </row>
    <row r="398">
      <c r="B398" s="175"/>
    </row>
    <row r="399">
      <c r="B399" s="175"/>
    </row>
    <row r="400">
      <c r="B400" s="175"/>
    </row>
    <row r="401">
      <c r="B401" s="175"/>
    </row>
    <row r="402">
      <c r="B402" s="175"/>
    </row>
    <row r="403">
      <c r="B403" s="175"/>
    </row>
    <row r="404">
      <c r="B404" s="175"/>
    </row>
    <row r="405">
      <c r="B405" s="175"/>
    </row>
    <row r="406">
      <c r="B406" s="175"/>
    </row>
    <row r="407">
      <c r="B407" s="175"/>
    </row>
    <row r="408">
      <c r="B408" s="175"/>
    </row>
    <row r="409">
      <c r="B409" s="175"/>
    </row>
    <row r="410">
      <c r="B410" s="175"/>
    </row>
    <row r="411">
      <c r="B411" s="175"/>
    </row>
    <row r="412">
      <c r="B412" s="175"/>
    </row>
    <row r="413">
      <c r="B413" s="175"/>
    </row>
    <row r="414">
      <c r="B414" s="175"/>
    </row>
    <row r="415">
      <c r="B415" s="175"/>
    </row>
    <row r="416">
      <c r="B416" s="175"/>
    </row>
    <row r="417">
      <c r="B417" s="175"/>
    </row>
    <row r="418">
      <c r="B418" s="175"/>
    </row>
    <row r="419">
      <c r="B419" s="175"/>
    </row>
    <row r="420">
      <c r="B420" s="175"/>
    </row>
    <row r="421">
      <c r="B421" s="175"/>
    </row>
    <row r="422">
      <c r="B422" s="175"/>
    </row>
    <row r="423">
      <c r="B423" s="175"/>
    </row>
    <row r="424">
      <c r="B424" s="175"/>
    </row>
    <row r="425">
      <c r="B425" s="175"/>
    </row>
    <row r="426">
      <c r="B426" s="175"/>
    </row>
    <row r="427">
      <c r="B427" s="175"/>
    </row>
    <row r="428">
      <c r="B428" s="175"/>
    </row>
    <row r="429">
      <c r="B429" s="175"/>
    </row>
    <row r="430">
      <c r="B430" s="175"/>
    </row>
    <row r="431">
      <c r="B431" s="175"/>
    </row>
    <row r="432">
      <c r="B432" s="175"/>
    </row>
    <row r="433">
      <c r="B433" s="175"/>
    </row>
    <row r="434">
      <c r="B434" s="175"/>
    </row>
    <row r="435">
      <c r="B435" s="175"/>
    </row>
    <row r="436">
      <c r="B436" s="175"/>
    </row>
    <row r="437">
      <c r="B437" s="175"/>
    </row>
    <row r="438">
      <c r="B438" s="175"/>
    </row>
    <row r="439">
      <c r="B439" s="175"/>
    </row>
    <row r="440">
      <c r="B440" s="175"/>
    </row>
    <row r="441">
      <c r="B441" s="175"/>
    </row>
    <row r="442">
      <c r="B442" s="175"/>
    </row>
    <row r="443">
      <c r="B443" s="175"/>
    </row>
    <row r="444">
      <c r="B444" s="175"/>
    </row>
    <row r="445">
      <c r="B445" s="175"/>
    </row>
    <row r="446">
      <c r="B446" s="175"/>
    </row>
    <row r="447">
      <c r="B447" s="175"/>
    </row>
    <row r="448">
      <c r="B448" s="175"/>
    </row>
    <row r="449">
      <c r="B449" s="175"/>
    </row>
    <row r="450">
      <c r="B450" s="175"/>
    </row>
    <row r="451">
      <c r="B451" s="175"/>
    </row>
    <row r="452">
      <c r="B452" s="175"/>
    </row>
    <row r="453">
      <c r="B453" s="175"/>
    </row>
    <row r="454">
      <c r="B454" s="175"/>
    </row>
    <row r="455">
      <c r="B455" s="175"/>
    </row>
    <row r="456">
      <c r="B456" s="175"/>
    </row>
    <row r="457">
      <c r="B457" s="175"/>
    </row>
    <row r="458">
      <c r="B458" s="175"/>
    </row>
    <row r="459">
      <c r="B459" s="175"/>
    </row>
    <row r="460">
      <c r="B460" s="175"/>
    </row>
    <row r="461">
      <c r="B461" s="175"/>
    </row>
    <row r="462">
      <c r="B462" s="175"/>
    </row>
    <row r="463">
      <c r="B463" s="175"/>
    </row>
    <row r="464">
      <c r="B464" s="175"/>
    </row>
    <row r="465">
      <c r="B465" s="175"/>
    </row>
    <row r="466">
      <c r="B466" s="175"/>
    </row>
    <row r="467">
      <c r="B467" s="175"/>
    </row>
    <row r="468">
      <c r="B468" s="175"/>
    </row>
    <row r="469">
      <c r="B469" s="175"/>
    </row>
    <row r="470">
      <c r="B470" s="175"/>
    </row>
    <row r="471">
      <c r="B471" s="175"/>
    </row>
    <row r="472">
      <c r="B472" s="175"/>
    </row>
    <row r="473">
      <c r="B473" s="175"/>
    </row>
    <row r="474">
      <c r="B474" s="175"/>
    </row>
    <row r="475">
      <c r="B475" s="175"/>
    </row>
    <row r="476">
      <c r="B476" s="175"/>
    </row>
    <row r="477">
      <c r="B477" s="175"/>
    </row>
    <row r="478">
      <c r="B478" s="175"/>
    </row>
    <row r="479">
      <c r="B479" s="175"/>
    </row>
    <row r="480">
      <c r="B480" s="175"/>
    </row>
    <row r="481">
      <c r="B481" s="175"/>
    </row>
    <row r="482">
      <c r="B482" s="175"/>
    </row>
    <row r="483">
      <c r="B483" s="175"/>
    </row>
    <row r="484">
      <c r="B484" s="175"/>
    </row>
    <row r="485">
      <c r="B485" s="175"/>
    </row>
    <row r="486">
      <c r="B486" s="175"/>
    </row>
    <row r="487">
      <c r="B487" s="175"/>
    </row>
    <row r="488">
      <c r="B488" s="175"/>
    </row>
    <row r="489">
      <c r="B489" s="175"/>
    </row>
    <row r="490">
      <c r="B490" s="175"/>
    </row>
    <row r="491">
      <c r="B491" s="175"/>
    </row>
    <row r="492">
      <c r="B492" s="175"/>
    </row>
    <row r="493">
      <c r="B493" s="175"/>
    </row>
    <row r="494">
      <c r="B494" s="175"/>
    </row>
    <row r="495">
      <c r="B495" s="175"/>
    </row>
    <row r="496">
      <c r="B496" s="175"/>
    </row>
    <row r="497">
      <c r="B497" s="175"/>
    </row>
    <row r="498">
      <c r="B498" s="175"/>
    </row>
    <row r="499">
      <c r="B499" s="175"/>
    </row>
    <row r="500">
      <c r="B500" s="175"/>
    </row>
    <row r="501">
      <c r="B501" s="175"/>
    </row>
    <row r="502">
      <c r="B502" s="175"/>
    </row>
    <row r="503">
      <c r="B503" s="175"/>
    </row>
    <row r="504">
      <c r="B504" s="175"/>
    </row>
    <row r="505">
      <c r="B505" s="175"/>
    </row>
    <row r="506">
      <c r="B506" s="175"/>
    </row>
    <row r="507">
      <c r="B507" s="175"/>
    </row>
    <row r="508">
      <c r="B508" s="175"/>
    </row>
    <row r="509">
      <c r="B509" s="175"/>
    </row>
    <row r="510">
      <c r="B510" s="175"/>
    </row>
    <row r="511">
      <c r="B511" s="175"/>
    </row>
    <row r="512">
      <c r="B512" s="175"/>
    </row>
    <row r="513">
      <c r="B513" s="175"/>
    </row>
    <row r="514">
      <c r="B514" s="175"/>
    </row>
    <row r="515">
      <c r="B515" s="175"/>
    </row>
    <row r="516">
      <c r="B516" s="175"/>
    </row>
    <row r="517">
      <c r="B517" s="175"/>
    </row>
    <row r="518">
      <c r="B518" s="175"/>
    </row>
    <row r="519">
      <c r="B519" s="175"/>
    </row>
    <row r="520">
      <c r="B520" s="175"/>
    </row>
    <row r="521">
      <c r="B521" s="175"/>
    </row>
    <row r="522">
      <c r="B522" s="175"/>
    </row>
    <row r="523">
      <c r="B523" s="175"/>
    </row>
    <row r="524">
      <c r="B524" s="175"/>
    </row>
    <row r="525">
      <c r="B525" s="175"/>
    </row>
    <row r="526">
      <c r="B526" s="175"/>
    </row>
    <row r="527">
      <c r="B527" s="175"/>
    </row>
    <row r="528">
      <c r="B528" s="175"/>
    </row>
    <row r="529">
      <c r="B529" s="175"/>
    </row>
    <row r="530">
      <c r="B530" s="175"/>
    </row>
    <row r="531">
      <c r="B531" s="175"/>
    </row>
    <row r="532">
      <c r="B532" s="175"/>
    </row>
    <row r="533">
      <c r="B533" s="175"/>
    </row>
    <row r="534">
      <c r="B534" s="175"/>
    </row>
    <row r="535">
      <c r="B535" s="175"/>
    </row>
    <row r="536">
      <c r="B536" s="175"/>
    </row>
    <row r="537">
      <c r="B537" s="175"/>
    </row>
    <row r="538">
      <c r="B538" s="175"/>
    </row>
    <row r="539">
      <c r="B539" s="175"/>
    </row>
    <row r="540">
      <c r="B540" s="175"/>
    </row>
    <row r="541">
      <c r="B541" s="175"/>
    </row>
    <row r="542">
      <c r="B542" s="175"/>
    </row>
    <row r="543">
      <c r="B543" s="175"/>
    </row>
    <row r="544">
      <c r="B544" s="175"/>
    </row>
    <row r="545">
      <c r="B545" s="175"/>
    </row>
    <row r="546">
      <c r="B546" s="175"/>
    </row>
    <row r="547">
      <c r="B547" s="175"/>
    </row>
    <row r="548">
      <c r="B548" s="175"/>
    </row>
    <row r="549">
      <c r="B549" s="175"/>
    </row>
    <row r="550">
      <c r="B550" s="175"/>
    </row>
    <row r="551">
      <c r="B551" s="175"/>
    </row>
    <row r="552">
      <c r="B552" s="175"/>
    </row>
    <row r="553">
      <c r="B553" s="175"/>
    </row>
    <row r="554">
      <c r="B554" s="175"/>
    </row>
    <row r="555">
      <c r="B555" s="175"/>
    </row>
    <row r="556">
      <c r="B556" s="175"/>
    </row>
    <row r="557">
      <c r="B557" s="175"/>
    </row>
    <row r="558">
      <c r="B558" s="175"/>
    </row>
    <row r="559">
      <c r="B559" s="175"/>
    </row>
    <row r="560">
      <c r="B560" s="175"/>
    </row>
    <row r="561">
      <c r="B561" s="175"/>
    </row>
    <row r="562">
      <c r="B562" s="175"/>
    </row>
    <row r="563">
      <c r="B563" s="175"/>
    </row>
    <row r="564">
      <c r="B564" s="175"/>
    </row>
    <row r="565">
      <c r="B565" s="175"/>
    </row>
    <row r="566">
      <c r="B566" s="175"/>
    </row>
    <row r="567">
      <c r="B567" s="175"/>
    </row>
    <row r="568">
      <c r="B568" s="175"/>
    </row>
    <row r="569">
      <c r="B569" s="175"/>
    </row>
    <row r="570">
      <c r="B570" s="175"/>
    </row>
    <row r="571">
      <c r="B571" s="175"/>
    </row>
    <row r="572">
      <c r="B572" s="175"/>
    </row>
    <row r="573">
      <c r="B573" s="175"/>
    </row>
    <row r="574">
      <c r="B574" s="175"/>
    </row>
    <row r="575">
      <c r="B575" s="175"/>
    </row>
    <row r="576">
      <c r="B576" s="175"/>
    </row>
    <row r="577">
      <c r="B577" s="175"/>
    </row>
    <row r="578">
      <c r="B578" s="175"/>
    </row>
    <row r="579">
      <c r="B579" s="175"/>
    </row>
    <row r="580">
      <c r="B580" s="175"/>
    </row>
    <row r="581">
      <c r="B581" s="175"/>
    </row>
    <row r="582">
      <c r="B582" s="175"/>
    </row>
    <row r="583">
      <c r="B583" s="175"/>
    </row>
    <row r="584">
      <c r="B584" s="175"/>
    </row>
    <row r="585">
      <c r="B585" s="175"/>
    </row>
    <row r="586">
      <c r="B586" s="175"/>
    </row>
    <row r="587">
      <c r="B587" s="175"/>
    </row>
    <row r="588">
      <c r="B588" s="175"/>
    </row>
    <row r="589">
      <c r="B589" s="175"/>
    </row>
    <row r="590">
      <c r="B590" s="175"/>
    </row>
    <row r="591">
      <c r="B591" s="175"/>
    </row>
    <row r="592">
      <c r="B592" s="175"/>
    </row>
    <row r="593">
      <c r="B593" s="175"/>
    </row>
    <row r="594">
      <c r="B594" s="175"/>
    </row>
    <row r="595">
      <c r="B595" s="175"/>
    </row>
    <row r="596">
      <c r="B596" s="175"/>
    </row>
    <row r="597">
      <c r="B597" s="175"/>
    </row>
    <row r="598">
      <c r="B598" s="175"/>
    </row>
    <row r="599">
      <c r="B599" s="175"/>
    </row>
    <row r="600">
      <c r="B600" s="175"/>
    </row>
    <row r="601">
      <c r="B601" s="175"/>
    </row>
    <row r="602">
      <c r="B602" s="175"/>
    </row>
    <row r="603">
      <c r="B603" s="175"/>
    </row>
    <row r="604">
      <c r="B604" s="175"/>
    </row>
    <row r="605">
      <c r="B605" s="175"/>
    </row>
    <row r="606">
      <c r="B606" s="175"/>
    </row>
    <row r="607">
      <c r="B607" s="175"/>
    </row>
    <row r="608">
      <c r="B608" s="175"/>
    </row>
    <row r="609">
      <c r="B609" s="175"/>
    </row>
    <row r="610">
      <c r="B610" s="175"/>
    </row>
    <row r="611">
      <c r="B611" s="175"/>
    </row>
    <row r="612">
      <c r="B612" s="175"/>
    </row>
    <row r="613">
      <c r="B613" s="175"/>
    </row>
    <row r="614">
      <c r="B614" s="175"/>
    </row>
    <row r="615">
      <c r="B615" s="175"/>
    </row>
    <row r="616">
      <c r="B616" s="175"/>
    </row>
    <row r="617">
      <c r="B617" s="175"/>
    </row>
    <row r="618">
      <c r="B618" s="175"/>
    </row>
    <row r="619">
      <c r="B619" s="175"/>
    </row>
    <row r="620">
      <c r="B620" s="175"/>
    </row>
    <row r="621">
      <c r="B621" s="175"/>
    </row>
    <row r="622">
      <c r="B622" s="175"/>
    </row>
    <row r="623">
      <c r="B623" s="175"/>
    </row>
    <row r="624">
      <c r="B624" s="175"/>
    </row>
    <row r="625">
      <c r="B625" s="175"/>
    </row>
    <row r="626">
      <c r="B626" s="175"/>
    </row>
    <row r="627">
      <c r="B627" s="175"/>
    </row>
    <row r="628">
      <c r="B628" s="175"/>
    </row>
    <row r="629">
      <c r="B629" s="175"/>
    </row>
    <row r="630">
      <c r="B630" s="175"/>
    </row>
    <row r="631">
      <c r="B631" s="175"/>
    </row>
    <row r="632">
      <c r="B632" s="175"/>
    </row>
    <row r="633">
      <c r="B633" s="175"/>
    </row>
    <row r="634">
      <c r="B634" s="175"/>
    </row>
    <row r="635">
      <c r="B635" s="175"/>
    </row>
    <row r="636">
      <c r="B636" s="175"/>
    </row>
    <row r="637">
      <c r="B637" s="175"/>
    </row>
    <row r="638">
      <c r="B638" s="175"/>
    </row>
    <row r="639">
      <c r="B639" s="175"/>
    </row>
    <row r="640">
      <c r="B640" s="175"/>
    </row>
    <row r="641">
      <c r="B641" s="175"/>
    </row>
    <row r="642">
      <c r="B642" s="175"/>
    </row>
    <row r="643">
      <c r="B643" s="175"/>
    </row>
    <row r="644">
      <c r="B644" s="175"/>
    </row>
    <row r="645">
      <c r="B645" s="175"/>
    </row>
    <row r="646">
      <c r="B646" s="175"/>
    </row>
    <row r="647">
      <c r="B647" s="175"/>
    </row>
    <row r="648">
      <c r="B648" s="175"/>
    </row>
    <row r="649">
      <c r="B649" s="175"/>
    </row>
    <row r="650">
      <c r="B650" s="175"/>
    </row>
    <row r="651">
      <c r="B651" s="175"/>
    </row>
    <row r="652">
      <c r="B652" s="175"/>
    </row>
    <row r="653">
      <c r="B653" s="175"/>
    </row>
    <row r="654">
      <c r="B654" s="175"/>
    </row>
    <row r="655">
      <c r="B655" s="175"/>
    </row>
    <row r="656">
      <c r="B656" s="175"/>
    </row>
    <row r="657">
      <c r="B657" s="175"/>
    </row>
    <row r="658">
      <c r="B658" s="175"/>
    </row>
    <row r="659">
      <c r="B659" s="175"/>
    </row>
    <row r="660">
      <c r="B660" s="175"/>
    </row>
    <row r="661">
      <c r="B661" s="175"/>
    </row>
    <row r="662">
      <c r="B662" s="175"/>
    </row>
    <row r="663">
      <c r="B663" s="175"/>
    </row>
    <row r="664">
      <c r="B664" s="175"/>
    </row>
    <row r="665">
      <c r="B665" s="175"/>
    </row>
    <row r="666">
      <c r="B666" s="175"/>
    </row>
    <row r="667">
      <c r="B667" s="175"/>
    </row>
    <row r="668">
      <c r="B668" s="175"/>
    </row>
    <row r="669">
      <c r="B669" s="175"/>
    </row>
    <row r="670">
      <c r="B670" s="175"/>
    </row>
    <row r="671">
      <c r="B671" s="175"/>
    </row>
    <row r="672">
      <c r="B672" s="175"/>
    </row>
    <row r="673">
      <c r="B673" s="175"/>
    </row>
    <row r="674">
      <c r="B674" s="175"/>
    </row>
    <row r="675">
      <c r="B675" s="175"/>
    </row>
    <row r="676">
      <c r="B676" s="175"/>
    </row>
    <row r="677">
      <c r="B677" s="175"/>
    </row>
    <row r="678">
      <c r="B678" s="175"/>
    </row>
    <row r="679">
      <c r="B679" s="175"/>
    </row>
    <row r="680">
      <c r="B680" s="175"/>
    </row>
    <row r="681">
      <c r="B681" s="175"/>
    </row>
    <row r="682">
      <c r="B682" s="175"/>
    </row>
    <row r="683">
      <c r="B683" s="175"/>
    </row>
    <row r="684">
      <c r="B684" s="175"/>
    </row>
    <row r="685">
      <c r="B685" s="175"/>
    </row>
    <row r="686">
      <c r="B686" s="175"/>
    </row>
    <row r="687">
      <c r="B687" s="175"/>
    </row>
    <row r="688">
      <c r="B688" s="175"/>
    </row>
    <row r="689">
      <c r="B689" s="175"/>
    </row>
    <row r="690">
      <c r="B690" s="175"/>
    </row>
    <row r="691">
      <c r="B691" s="175"/>
    </row>
    <row r="692">
      <c r="B692" s="175"/>
    </row>
    <row r="693">
      <c r="B693" s="175"/>
    </row>
    <row r="694">
      <c r="B694" s="175"/>
    </row>
    <row r="695">
      <c r="B695" s="175"/>
    </row>
    <row r="696">
      <c r="B696" s="175"/>
    </row>
    <row r="697">
      <c r="B697" s="175"/>
    </row>
    <row r="698">
      <c r="B698" s="175"/>
    </row>
    <row r="699">
      <c r="B699" s="175"/>
    </row>
    <row r="700">
      <c r="B700" s="175"/>
    </row>
    <row r="701">
      <c r="B701" s="175"/>
    </row>
    <row r="702">
      <c r="B702" s="175"/>
    </row>
    <row r="703">
      <c r="B703" s="175"/>
    </row>
    <row r="704">
      <c r="B704" s="175"/>
    </row>
    <row r="705">
      <c r="B705" s="175"/>
    </row>
    <row r="706">
      <c r="B706" s="175"/>
    </row>
    <row r="707">
      <c r="B707" s="175"/>
    </row>
    <row r="708">
      <c r="B708" s="175"/>
    </row>
    <row r="709">
      <c r="B709" s="175"/>
    </row>
    <row r="710">
      <c r="B710" s="175"/>
    </row>
    <row r="711">
      <c r="B711" s="175"/>
    </row>
    <row r="712">
      <c r="B712" s="175"/>
    </row>
    <row r="713">
      <c r="B713" s="175"/>
    </row>
    <row r="714">
      <c r="B714" s="175"/>
    </row>
    <row r="715">
      <c r="B715" s="175"/>
    </row>
    <row r="716">
      <c r="B716" s="175"/>
    </row>
    <row r="717">
      <c r="B717" s="175"/>
    </row>
    <row r="718">
      <c r="B718" s="175"/>
    </row>
    <row r="719">
      <c r="B719" s="175"/>
    </row>
    <row r="720">
      <c r="B720" s="175"/>
    </row>
    <row r="721">
      <c r="B721" s="175"/>
    </row>
    <row r="722">
      <c r="B722" s="175"/>
    </row>
    <row r="723">
      <c r="B723" s="175"/>
    </row>
    <row r="724">
      <c r="B724" s="175"/>
    </row>
    <row r="725">
      <c r="B725" s="175"/>
    </row>
    <row r="726">
      <c r="B726" s="175"/>
    </row>
    <row r="727">
      <c r="B727" s="175"/>
    </row>
    <row r="728">
      <c r="B728" s="175"/>
    </row>
    <row r="729">
      <c r="B729" s="175"/>
    </row>
    <row r="730">
      <c r="B730" s="175"/>
    </row>
    <row r="731">
      <c r="B731" s="175"/>
    </row>
    <row r="732">
      <c r="B732" s="175"/>
    </row>
    <row r="733">
      <c r="B733" s="175"/>
    </row>
    <row r="734">
      <c r="B734" s="175"/>
    </row>
    <row r="735">
      <c r="B735" s="175"/>
    </row>
    <row r="736">
      <c r="B736" s="175"/>
    </row>
    <row r="737">
      <c r="B737" s="175"/>
    </row>
    <row r="738">
      <c r="B738" s="175"/>
    </row>
    <row r="739">
      <c r="B739" s="175"/>
    </row>
    <row r="740">
      <c r="B740" s="175"/>
    </row>
    <row r="741">
      <c r="B741" s="175"/>
    </row>
    <row r="742">
      <c r="B742" s="175"/>
    </row>
    <row r="743">
      <c r="B743" s="175"/>
    </row>
    <row r="744">
      <c r="B744" s="175"/>
    </row>
    <row r="745">
      <c r="B745" s="175"/>
    </row>
    <row r="746">
      <c r="B746" s="175"/>
    </row>
    <row r="747">
      <c r="B747" s="175"/>
    </row>
    <row r="748">
      <c r="B748" s="175"/>
    </row>
    <row r="749">
      <c r="B749" s="175"/>
    </row>
    <row r="750">
      <c r="B750" s="175"/>
    </row>
    <row r="751">
      <c r="B751" s="175"/>
    </row>
    <row r="752">
      <c r="B752" s="175"/>
    </row>
    <row r="753">
      <c r="B753" s="175"/>
    </row>
    <row r="754">
      <c r="B754" s="175"/>
    </row>
    <row r="755">
      <c r="B755" s="175"/>
    </row>
    <row r="756">
      <c r="B756" s="175"/>
    </row>
    <row r="757">
      <c r="B757" s="175"/>
    </row>
    <row r="758">
      <c r="B758" s="175"/>
    </row>
    <row r="759">
      <c r="B759" s="175"/>
    </row>
    <row r="760">
      <c r="B760" s="175"/>
    </row>
    <row r="761">
      <c r="B761" s="175"/>
    </row>
    <row r="762">
      <c r="B762" s="175"/>
    </row>
    <row r="763">
      <c r="B763" s="175"/>
    </row>
    <row r="764">
      <c r="B764" s="175"/>
    </row>
    <row r="765">
      <c r="B765" s="175"/>
    </row>
    <row r="766">
      <c r="B766" s="175"/>
    </row>
    <row r="767">
      <c r="B767" s="175"/>
    </row>
    <row r="768">
      <c r="B768" s="175"/>
    </row>
    <row r="769">
      <c r="B769" s="175"/>
    </row>
    <row r="770">
      <c r="B770" s="175"/>
    </row>
    <row r="771">
      <c r="B771" s="175"/>
    </row>
    <row r="772">
      <c r="B772" s="175"/>
    </row>
    <row r="773">
      <c r="B773" s="175"/>
    </row>
    <row r="774">
      <c r="B774" s="175"/>
    </row>
    <row r="775">
      <c r="B775" s="175"/>
    </row>
    <row r="776">
      <c r="B776" s="175"/>
    </row>
    <row r="777">
      <c r="B777" s="175"/>
    </row>
    <row r="778">
      <c r="B778" s="175"/>
    </row>
    <row r="779">
      <c r="B779" s="175"/>
    </row>
    <row r="780">
      <c r="B780" s="175"/>
    </row>
    <row r="781">
      <c r="B781" s="175"/>
    </row>
    <row r="782">
      <c r="B782" s="175"/>
    </row>
    <row r="783">
      <c r="B783" s="175"/>
    </row>
    <row r="784">
      <c r="B784" s="175"/>
    </row>
    <row r="785">
      <c r="B785" s="175"/>
    </row>
    <row r="786">
      <c r="B786" s="175"/>
    </row>
    <row r="787">
      <c r="B787" s="175"/>
    </row>
    <row r="788">
      <c r="B788" s="175"/>
    </row>
    <row r="789">
      <c r="B789" s="175"/>
    </row>
    <row r="790">
      <c r="B790" s="175"/>
    </row>
    <row r="791">
      <c r="B791" s="175"/>
    </row>
    <row r="792">
      <c r="B792" s="175"/>
    </row>
    <row r="793">
      <c r="B793" s="175"/>
    </row>
    <row r="794">
      <c r="B794" s="175"/>
    </row>
    <row r="795">
      <c r="B795" s="175"/>
    </row>
    <row r="796">
      <c r="B796" s="175"/>
    </row>
    <row r="797">
      <c r="B797" s="175"/>
    </row>
    <row r="798">
      <c r="B798" s="175"/>
    </row>
    <row r="799">
      <c r="B799" s="175"/>
    </row>
    <row r="800">
      <c r="B800" s="175"/>
    </row>
    <row r="801">
      <c r="B801" s="175"/>
    </row>
    <row r="802">
      <c r="B802" s="175"/>
    </row>
    <row r="803">
      <c r="B803" s="175"/>
    </row>
    <row r="804">
      <c r="B804" s="175"/>
    </row>
    <row r="805">
      <c r="B805" s="175"/>
    </row>
    <row r="806">
      <c r="B806" s="175"/>
    </row>
    <row r="807">
      <c r="B807" s="175"/>
    </row>
    <row r="808">
      <c r="B808" s="175"/>
    </row>
    <row r="809">
      <c r="B809" s="175"/>
    </row>
    <row r="810">
      <c r="B810" s="175"/>
    </row>
    <row r="811">
      <c r="B811" s="175"/>
    </row>
    <row r="812">
      <c r="B812" s="175"/>
    </row>
    <row r="813">
      <c r="B813" s="175"/>
    </row>
    <row r="814">
      <c r="B814" s="175"/>
    </row>
    <row r="815">
      <c r="B815" s="175"/>
    </row>
    <row r="816">
      <c r="B816" s="175"/>
    </row>
    <row r="817">
      <c r="B817" s="175"/>
    </row>
    <row r="818">
      <c r="B818" s="175"/>
    </row>
    <row r="819">
      <c r="B819" s="175"/>
    </row>
    <row r="820">
      <c r="B820" s="175"/>
    </row>
    <row r="821">
      <c r="B821" s="175"/>
    </row>
    <row r="822">
      <c r="B822" s="175"/>
    </row>
    <row r="823">
      <c r="B823" s="175"/>
    </row>
    <row r="824">
      <c r="B824" s="175"/>
    </row>
    <row r="825">
      <c r="B825" s="175"/>
    </row>
    <row r="826">
      <c r="B826" s="175"/>
    </row>
    <row r="827">
      <c r="B827" s="175"/>
    </row>
    <row r="828">
      <c r="B828" s="175"/>
    </row>
    <row r="829">
      <c r="B829" s="175"/>
    </row>
    <row r="830">
      <c r="B830" s="175"/>
    </row>
    <row r="831">
      <c r="B831" s="175"/>
    </row>
    <row r="832">
      <c r="B832" s="175"/>
    </row>
    <row r="833">
      <c r="B833" s="175"/>
    </row>
    <row r="834">
      <c r="B834" s="175"/>
    </row>
    <row r="835">
      <c r="B835" s="175"/>
    </row>
    <row r="836">
      <c r="B836" s="175"/>
    </row>
    <row r="837">
      <c r="B837" s="175"/>
    </row>
    <row r="838">
      <c r="B838" s="175"/>
    </row>
    <row r="839">
      <c r="B839" s="175"/>
    </row>
    <row r="840">
      <c r="B840" s="175"/>
    </row>
    <row r="841">
      <c r="B841" s="175"/>
    </row>
    <row r="842">
      <c r="B842" s="175"/>
    </row>
    <row r="843">
      <c r="B843" s="175"/>
    </row>
    <row r="844">
      <c r="B844" s="175"/>
    </row>
    <row r="845">
      <c r="B845" s="175"/>
    </row>
    <row r="846">
      <c r="B846" s="175"/>
    </row>
    <row r="847">
      <c r="B847" s="175"/>
    </row>
    <row r="848">
      <c r="B848" s="175"/>
    </row>
    <row r="849">
      <c r="B849" s="175"/>
    </row>
    <row r="850">
      <c r="B850" s="175"/>
    </row>
    <row r="851">
      <c r="B851" s="175"/>
    </row>
    <row r="852">
      <c r="B852" s="175"/>
    </row>
    <row r="853">
      <c r="B853" s="175"/>
    </row>
    <row r="854">
      <c r="B854" s="175"/>
    </row>
    <row r="855">
      <c r="B855" s="175"/>
    </row>
    <row r="856">
      <c r="B856" s="175"/>
    </row>
    <row r="857">
      <c r="B857" s="175"/>
    </row>
    <row r="858">
      <c r="B858" s="175"/>
    </row>
    <row r="859">
      <c r="B859" s="175"/>
    </row>
    <row r="860">
      <c r="B860" s="175"/>
    </row>
    <row r="861">
      <c r="B861" s="175"/>
    </row>
    <row r="862">
      <c r="B862" s="175"/>
    </row>
    <row r="863">
      <c r="B863" s="175"/>
    </row>
    <row r="864">
      <c r="B864" s="175"/>
    </row>
    <row r="865">
      <c r="B865" s="175"/>
    </row>
    <row r="866">
      <c r="B866" s="175"/>
    </row>
    <row r="867">
      <c r="B867" s="175"/>
    </row>
    <row r="868">
      <c r="B868" s="175"/>
    </row>
    <row r="869">
      <c r="B869" s="175"/>
    </row>
    <row r="870">
      <c r="B870" s="175"/>
    </row>
    <row r="871">
      <c r="B871" s="175"/>
    </row>
    <row r="872">
      <c r="B872" s="175"/>
    </row>
    <row r="873">
      <c r="B873" s="175"/>
    </row>
    <row r="874">
      <c r="B874" s="175"/>
    </row>
    <row r="875">
      <c r="B875" s="175"/>
    </row>
    <row r="876">
      <c r="B876" s="175"/>
    </row>
    <row r="877">
      <c r="B877" s="175"/>
    </row>
    <row r="878">
      <c r="B878" s="175"/>
    </row>
    <row r="879">
      <c r="B879" s="175"/>
    </row>
    <row r="880">
      <c r="B880" s="175"/>
    </row>
    <row r="881">
      <c r="B881" s="175"/>
    </row>
    <row r="882">
      <c r="B882" s="175"/>
    </row>
    <row r="883">
      <c r="B883" s="175"/>
    </row>
    <row r="884">
      <c r="B884" s="175"/>
    </row>
    <row r="885">
      <c r="B885" s="175"/>
    </row>
    <row r="886">
      <c r="B886" s="175"/>
    </row>
    <row r="887">
      <c r="B887" s="175"/>
    </row>
    <row r="888">
      <c r="B888" s="175"/>
    </row>
    <row r="889">
      <c r="B889" s="175"/>
    </row>
    <row r="890">
      <c r="B890" s="175"/>
    </row>
    <row r="891">
      <c r="B891" s="175"/>
    </row>
    <row r="892">
      <c r="B892" s="175"/>
    </row>
    <row r="893">
      <c r="B893" s="175"/>
    </row>
    <row r="894">
      <c r="B894" s="175"/>
    </row>
    <row r="895">
      <c r="B895" s="175"/>
    </row>
    <row r="896">
      <c r="B896" s="175"/>
    </row>
    <row r="897">
      <c r="B897" s="175"/>
    </row>
    <row r="898">
      <c r="B898" s="175"/>
    </row>
    <row r="899">
      <c r="B899" s="175"/>
    </row>
    <row r="900">
      <c r="B900" s="175"/>
    </row>
    <row r="901">
      <c r="B901" s="175"/>
    </row>
    <row r="902">
      <c r="B902" s="175"/>
    </row>
    <row r="903">
      <c r="B903" s="175"/>
    </row>
    <row r="904">
      <c r="B904" s="175"/>
    </row>
    <row r="905">
      <c r="B905" s="175"/>
    </row>
    <row r="906">
      <c r="B906" s="175"/>
    </row>
    <row r="907">
      <c r="B907" s="175"/>
    </row>
    <row r="908">
      <c r="B908" s="175"/>
    </row>
    <row r="909">
      <c r="B909" s="175"/>
    </row>
    <row r="910">
      <c r="B910" s="175"/>
    </row>
    <row r="911">
      <c r="B911" s="175"/>
    </row>
    <row r="912">
      <c r="B912" s="175"/>
    </row>
    <row r="913">
      <c r="B913" s="175"/>
    </row>
    <row r="914">
      <c r="B914" s="175"/>
    </row>
    <row r="915">
      <c r="B915" s="175"/>
    </row>
    <row r="916">
      <c r="B916" s="175"/>
    </row>
    <row r="917">
      <c r="B917" s="175"/>
    </row>
    <row r="918">
      <c r="B918" s="175"/>
    </row>
    <row r="919">
      <c r="B919" s="175"/>
    </row>
    <row r="920">
      <c r="B920" s="175"/>
    </row>
    <row r="921">
      <c r="B921" s="175"/>
    </row>
    <row r="922">
      <c r="B922" s="175"/>
    </row>
    <row r="923">
      <c r="B923" s="175"/>
    </row>
    <row r="924">
      <c r="B924" s="175"/>
    </row>
    <row r="925">
      <c r="B925" s="175"/>
    </row>
    <row r="926">
      <c r="B926" s="175"/>
    </row>
    <row r="927">
      <c r="B927" s="175"/>
    </row>
    <row r="928">
      <c r="B928" s="175"/>
    </row>
    <row r="929">
      <c r="B929" s="175"/>
    </row>
    <row r="930">
      <c r="B930" s="175"/>
    </row>
    <row r="931">
      <c r="B931" s="175"/>
    </row>
    <row r="932">
      <c r="B932" s="175"/>
    </row>
    <row r="933">
      <c r="B933" s="175"/>
    </row>
    <row r="934">
      <c r="B934" s="175"/>
    </row>
    <row r="935">
      <c r="B935" s="175"/>
    </row>
    <row r="936">
      <c r="B936" s="175"/>
    </row>
    <row r="937">
      <c r="B937" s="175"/>
    </row>
    <row r="938">
      <c r="B938" s="175"/>
    </row>
    <row r="939">
      <c r="B939" s="175"/>
    </row>
    <row r="940">
      <c r="B940" s="175"/>
    </row>
    <row r="941">
      <c r="B941" s="175"/>
    </row>
    <row r="942">
      <c r="B942" s="175"/>
    </row>
    <row r="943">
      <c r="B943" s="175"/>
    </row>
    <row r="944">
      <c r="B944" s="175"/>
    </row>
    <row r="945">
      <c r="B945" s="175"/>
    </row>
    <row r="946">
      <c r="B946" s="175"/>
    </row>
    <row r="947">
      <c r="B947" s="175"/>
    </row>
    <row r="948">
      <c r="B948" s="175"/>
    </row>
    <row r="949">
      <c r="B949" s="175"/>
    </row>
    <row r="950">
      <c r="B950" s="175"/>
    </row>
    <row r="951">
      <c r="B951" s="175"/>
    </row>
    <row r="952">
      <c r="B952" s="175"/>
    </row>
    <row r="953">
      <c r="B953" s="175"/>
    </row>
    <row r="954">
      <c r="B954" s="175"/>
    </row>
    <row r="955">
      <c r="B955" s="175"/>
    </row>
    <row r="956">
      <c r="B956" s="175"/>
    </row>
    <row r="957">
      <c r="B957" s="175"/>
    </row>
    <row r="958">
      <c r="B958" s="175"/>
    </row>
    <row r="959">
      <c r="B959" s="175"/>
    </row>
    <row r="960">
      <c r="B960" s="175"/>
    </row>
    <row r="961">
      <c r="B961" s="175"/>
    </row>
    <row r="962">
      <c r="B962" s="175"/>
    </row>
    <row r="963">
      <c r="B963" s="175"/>
    </row>
    <row r="964">
      <c r="B964" s="175"/>
    </row>
    <row r="965">
      <c r="B965" s="175"/>
    </row>
    <row r="966">
      <c r="B966" s="175"/>
    </row>
    <row r="967">
      <c r="B967" s="175"/>
    </row>
    <row r="968">
      <c r="B968" s="175"/>
    </row>
    <row r="969">
      <c r="B969" s="175"/>
    </row>
    <row r="970">
      <c r="B970" s="175"/>
    </row>
    <row r="971">
      <c r="B971" s="175"/>
    </row>
    <row r="972">
      <c r="B972" s="175"/>
    </row>
    <row r="973">
      <c r="B973" s="175"/>
    </row>
    <row r="974">
      <c r="B974" s="175"/>
    </row>
    <row r="975">
      <c r="B975" s="175"/>
    </row>
    <row r="976">
      <c r="B976" s="175"/>
    </row>
    <row r="977">
      <c r="B977" s="175"/>
    </row>
    <row r="978">
      <c r="B978" s="175"/>
    </row>
    <row r="979">
      <c r="B979" s="175"/>
    </row>
    <row r="980">
      <c r="B980" s="175"/>
    </row>
    <row r="981">
      <c r="B981" s="175"/>
    </row>
    <row r="982">
      <c r="B982" s="175"/>
    </row>
    <row r="983">
      <c r="B983" s="175"/>
    </row>
    <row r="984">
      <c r="B984" s="175"/>
    </row>
    <row r="985">
      <c r="B985" s="175"/>
    </row>
    <row r="986">
      <c r="B986" s="175"/>
    </row>
    <row r="987">
      <c r="B987" s="175"/>
    </row>
    <row r="988">
      <c r="B988" s="175"/>
    </row>
    <row r="989">
      <c r="B989" s="175"/>
    </row>
    <row r="990">
      <c r="B990" s="175"/>
    </row>
    <row r="991">
      <c r="B991" s="175"/>
    </row>
    <row r="992">
      <c r="B992" s="175"/>
    </row>
    <row r="993">
      <c r="B993" s="175"/>
    </row>
    <row r="994">
      <c r="B994" s="175"/>
    </row>
    <row r="995">
      <c r="B995" s="175"/>
    </row>
    <row r="996">
      <c r="B996" s="175"/>
    </row>
    <row r="997">
      <c r="B997" s="175"/>
    </row>
    <row r="998">
      <c r="B998" s="175"/>
    </row>
    <row r="999">
      <c r="B999" s="175"/>
    </row>
    <row r="1000">
      <c r="B1000" s="175"/>
    </row>
    <row r="1001">
      <c r="B1001" s="175"/>
    </row>
    <row r="1002">
      <c r="B1002" s="175"/>
    </row>
    <row r="1003">
      <c r="B1003" s="175"/>
    </row>
    <row r="1004">
      <c r="B1004" s="175"/>
    </row>
    <row r="1005">
      <c r="B1005" s="175"/>
    </row>
    <row r="1006">
      <c r="B1006" s="175"/>
    </row>
  </sheetData>
  <mergeCells count="5">
    <mergeCell ref="B3:N5"/>
    <mergeCell ref="B9:N10"/>
    <mergeCell ref="B14:N15"/>
    <mergeCell ref="B17:N19"/>
    <mergeCell ref="B21:N2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74" t="s">
        <v>437</v>
      </c>
    </row>
    <row r="2">
      <c r="B2" s="175"/>
    </row>
    <row r="3">
      <c r="B3" s="177" t="s">
        <v>438</v>
      </c>
    </row>
    <row r="6">
      <c r="B6" s="175"/>
    </row>
    <row r="7">
      <c r="B7" s="177" t="s">
        <v>439</v>
      </c>
    </row>
    <row r="9">
      <c r="B9" s="175"/>
    </row>
    <row r="10">
      <c r="B10" s="177" t="s">
        <v>440</v>
      </c>
    </row>
    <row r="13">
      <c r="B13" s="175"/>
    </row>
    <row r="14">
      <c r="B14" s="177" t="s">
        <v>441</v>
      </c>
    </row>
    <row r="16">
      <c r="B16" s="175"/>
    </row>
    <row r="17">
      <c r="B17" s="177" t="s">
        <v>442</v>
      </c>
    </row>
    <row r="19">
      <c r="B19" s="175"/>
    </row>
    <row r="20">
      <c r="B20" s="177" t="s">
        <v>443</v>
      </c>
    </row>
    <row r="23">
      <c r="B23" s="175"/>
    </row>
    <row r="24">
      <c r="B24" s="177" t="s">
        <v>444</v>
      </c>
    </row>
    <row r="26">
      <c r="B26" s="175"/>
    </row>
    <row r="27">
      <c r="B27" s="177" t="s">
        <v>445</v>
      </c>
    </row>
    <row r="31">
      <c r="B31" s="175"/>
    </row>
    <row r="32">
      <c r="B32" s="175"/>
    </row>
    <row r="33">
      <c r="B33" s="175"/>
    </row>
    <row r="34">
      <c r="B34" s="175"/>
    </row>
    <row r="35">
      <c r="B35" s="175"/>
    </row>
    <row r="36">
      <c r="B36" s="175"/>
    </row>
    <row r="37">
      <c r="B37" s="175"/>
    </row>
    <row r="38">
      <c r="B38" s="175"/>
    </row>
    <row r="39">
      <c r="B39" s="175"/>
    </row>
    <row r="40">
      <c r="B40" s="175"/>
    </row>
    <row r="41">
      <c r="B41" s="175"/>
    </row>
    <row r="42">
      <c r="B42" s="175"/>
    </row>
    <row r="43">
      <c r="B43" s="175"/>
    </row>
    <row r="44">
      <c r="B44" s="175"/>
    </row>
    <row r="45">
      <c r="B45" s="175"/>
    </row>
    <row r="46">
      <c r="B46" s="175"/>
    </row>
    <row r="47">
      <c r="B47" s="175"/>
    </row>
    <row r="48">
      <c r="B48" s="175"/>
    </row>
    <row r="49">
      <c r="B49" s="175"/>
    </row>
    <row r="50">
      <c r="B50" s="175"/>
    </row>
    <row r="51">
      <c r="B51" s="175"/>
    </row>
    <row r="52">
      <c r="B52" s="175"/>
    </row>
    <row r="53">
      <c r="B53" s="175"/>
    </row>
    <row r="54">
      <c r="B54" s="175"/>
    </row>
    <row r="55">
      <c r="B55" s="175"/>
    </row>
    <row r="56">
      <c r="B56" s="175"/>
    </row>
    <row r="57">
      <c r="B57" s="175"/>
    </row>
    <row r="58">
      <c r="B58" s="175"/>
    </row>
    <row r="59">
      <c r="B59" s="175"/>
    </row>
    <row r="60">
      <c r="B60" s="175"/>
    </row>
    <row r="61">
      <c r="B61" s="175"/>
    </row>
    <row r="62">
      <c r="B62" s="175"/>
    </row>
    <row r="63">
      <c r="B63" s="175"/>
    </row>
    <row r="64">
      <c r="B64" s="175"/>
    </row>
    <row r="65">
      <c r="B65" s="175"/>
    </row>
    <row r="66">
      <c r="B66" s="175"/>
    </row>
    <row r="67">
      <c r="B67" s="175"/>
    </row>
    <row r="68">
      <c r="B68" s="175"/>
    </row>
    <row r="69">
      <c r="B69" s="175"/>
    </row>
    <row r="70">
      <c r="B70" s="175"/>
    </row>
    <row r="71">
      <c r="B71" s="175"/>
    </row>
    <row r="72">
      <c r="B72" s="175"/>
    </row>
    <row r="73">
      <c r="B73" s="175"/>
    </row>
    <row r="74">
      <c r="B74" s="175"/>
    </row>
    <row r="75">
      <c r="B75" s="175"/>
    </row>
    <row r="76">
      <c r="B76" s="175"/>
    </row>
    <row r="77">
      <c r="B77" s="175"/>
    </row>
    <row r="78">
      <c r="B78" s="175"/>
    </row>
    <row r="79">
      <c r="B79" s="175"/>
    </row>
    <row r="80">
      <c r="B80" s="175"/>
    </row>
    <row r="81">
      <c r="B81" s="175"/>
    </row>
    <row r="82">
      <c r="B82" s="175"/>
    </row>
    <row r="83">
      <c r="B83" s="175"/>
    </row>
    <row r="84">
      <c r="B84" s="175"/>
    </row>
    <row r="85">
      <c r="B85" s="175"/>
    </row>
    <row r="86">
      <c r="B86" s="175"/>
    </row>
    <row r="87">
      <c r="B87" s="175"/>
    </row>
    <row r="88">
      <c r="B88" s="175"/>
    </row>
    <row r="89">
      <c r="B89" s="175"/>
    </row>
    <row r="90">
      <c r="B90" s="175"/>
    </row>
    <row r="91">
      <c r="B91" s="175"/>
    </row>
    <row r="92">
      <c r="B92" s="175"/>
    </row>
    <row r="93">
      <c r="B93" s="175"/>
    </row>
    <row r="94">
      <c r="B94" s="175"/>
    </row>
    <row r="95">
      <c r="B95" s="175"/>
    </row>
    <row r="96">
      <c r="B96" s="175"/>
    </row>
    <row r="97">
      <c r="B97" s="175"/>
    </row>
    <row r="98">
      <c r="B98" s="175"/>
    </row>
    <row r="99">
      <c r="B99" s="175"/>
    </row>
    <row r="100">
      <c r="B100" s="175"/>
    </row>
    <row r="101">
      <c r="B101" s="175"/>
    </row>
    <row r="102">
      <c r="B102" s="175"/>
    </row>
    <row r="103">
      <c r="B103" s="175"/>
    </row>
    <row r="104">
      <c r="B104" s="175"/>
    </row>
    <row r="105">
      <c r="B105" s="175"/>
    </row>
    <row r="106">
      <c r="B106" s="175"/>
    </row>
    <row r="107">
      <c r="B107" s="175"/>
    </row>
    <row r="108">
      <c r="B108" s="175"/>
    </row>
    <row r="109">
      <c r="B109" s="175"/>
    </row>
    <row r="110">
      <c r="B110" s="175"/>
    </row>
    <row r="111">
      <c r="B111" s="175"/>
    </row>
    <row r="112">
      <c r="B112" s="175"/>
    </row>
    <row r="113">
      <c r="B113" s="175"/>
    </row>
    <row r="114">
      <c r="B114" s="175"/>
    </row>
    <row r="115">
      <c r="B115" s="175"/>
    </row>
    <row r="116">
      <c r="B116" s="175"/>
    </row>
    <row r="117">
      <c r="B117" s="175"/>
    </row>
    <row r="118">
      <c r="B118" s="175"/>
    </row>
    <row r="119">
      <c r="B119" s="175"/>
    </row>
    <row r="120">
      <c r="B120" s="175"/>
    </row>
    <row r="121">
      <c r="B121" s="175"/>
    </row>
    <row r="122">
      <c r="B122" s="175"/>
    </row>
    <row r="123">
      <c r="B123" s="175"/>
    </row>
    <row r="124">
      <c r="B124" s="175"/>
    </row>
    <row r="125">
      <c r="B125" s="175"/>
    </row>
    <row r="126">
      <c r="B126" s="175"/>
    </row>
    <row r="127">
      <c r="B127" s="175"/>
    </row>
    <row r="128">
      <c r="B128" s="175"/>
    </row>
    <row r="129">
      <c r="B129" s="175"/>
    </row>
    <row r="130">
      <c r="B130" s="175"/>
    </row>
    <row r="131">
      <c r="B131" s="175"/>
    </row>
    <row r="132">
      <c r="B132" s="175"/>
    </row>
    <row r="133">
      <c r="B133" s="175"/>
    </row>
    <row r="134">
      <c r="B134" s="175"/>
    </row>
    <row r="135">
      <c r="B135" s="175"/>
    </row>
    <row r="136">
      <c r="B136" s="175"/>
    </row>
    <row r="137">
      <c r="B137" s="175"/>
    </row>
    <row r="138">
      <c r="B138" s="175"/>
    </row>
    <row r="139">
      <c r="B139" s="175"/>
    </row>
    <row r="140">
      <c r="B140" s="175"/>
    </row>
    <row r="141">
      <c r="B141" s="175"/>
    </row>
    <row r="142">
      <c r="B142" s="175"/>
    </row>
    <row r="143">
      <c r="B143" s="175"/>
    </row>
    <row r="144">
      <c r="B144" s="175"/>
    </row>
    <row r="145">
      <c r="B145" s="175"/>
    </row>
    <row r="146">
      <c r="B146" s="175"/>
    </row>
    <row r="147">
      <c r="B147" s="175"/>
    </row>
    <row r="148">
      <c r="B148" s="175"/>
    </row>
    <row r="149">
      <c r="B149" s="175"/>
    </row>
    <row r="150">
      <c r="B150" s="175"/>
    </row>
    <row r="151">
      <c r="B151" s="175"/>
    </row>
    <row r="152">
      <c r="B152" s="175"/>
    </row>
    <row r="153">
      <c r="B153" s="175"/>
    </row>
    <row r="154">
      <c r="B154" s="175"/>
    </row>
    <row r="155">
      <c r="B155" s="175"/>
    </row>
    <row r="156">
      <c r="B156" s="175"/>
    </row>
    <row r="157">
      <c r="B157" s="175"/>
    </row>
    <row r="158">
      <c r="B158" s="175"/>
    </row>
    <row r="159">
      <c r="B159" s="175"/>
    </row>
    <row r="160">
      <c r="B160" s="175"/>
    </row>
    <row r="161">
      <c r="B161" s="175"/>
    </row>
    <row r="162">
      <c r="B162" s="175"/>
    </row>
    <row r="163">
      <c r="B163" s="175"/>
    </row>
    <row r="164">
      <c r="B164" s="175"/>
    </row>
    <row r="165">
      <c r="B165" s="175"/>
    </row>
    <row r="166">
      <c r="B166" s="175"/>
    </row>
    <row r="167">
      <c r="B167" s="175"/>
    </row>
    <row r="168">
      <c r="B168" s="175"/>
    </row>
    <row r="169">
      <c r="B169" s="175"/>
    </row>
    <row r="170">
      <c r="B170" s="175"/>
    </row>
    <row r="171">
      <c r="B171" s="175"/>
    </row>
    <row r="172">
      <c r="B172" s="175"/>
    </row>
    <row r="173">
      <c r="B173" s="175"/>
    </row>
    <row r="174">
      <c r="B174" s="175"/>
    </row>
    <row r="175">
      <c r="B175" s="175"/>
    </row>
    <row r="176">
      <c r="B176" s="175"/>
    </row>
    <row r="177">
      <c r="B177" s="175"/>
    </row>
    <row r="178">
      <c r="B178" s="175"/>
    </row>
    <row r="179">
      <c r="B179" s="175"/>
    </row>
    <row r="180">
      <c r="B180" s="175"/>
    </row>
    <row r="181">
      <c r="B181" s="175"/>
    </row>
    <row r="182">
      <c r="B182" s="175"/>
    </row>
    <row r="183">
      <c r="B183" s="175"/>
    </row>
    <row r="184">
      <c r="B184" s="175"/>
    </row>
    <row r="185">
      <c r="B185" s="175"/>
    </row>
    <row r="186">
      <c r="B186" s="175"/>
    </row>
    <row r="187">
      <c r="B187" s="175"/>
    </row>
    <row r="188">
      <c r="B188" s="175"/>
    </row>
    <row r="189">
      <c r="B189" s="175"/>
    </row>
    <row r="190">
      <c r="B190" s="175"/>
    </row>
    <row r="191">
      <c r="B191" s="175"/>
    </row>
    <row r="192">
      <c r="B192" s="175"/>
    </row>
    <row r="193">
      <c r="B193" s="175"/>
    </row>
    <row r="194">
      <c r="B194" s="175"/>
    </row>
    <row r="195">
      <c r="B195" s="175"/>
    </row>
    <row r="196">
      <c r="B196" s="175"/>
    </row>
    <row r="197">
      <c r="B197" s="175"/>
    </row>
    <row r="198">
      <c r="B198" s="175"/>
    </row>
    <row r="199">
      <c r="B199" s="175"/>
    </row>
    <row r="200">
      <c r="B200" s="175"/>
    </row>
    <row r="201">
      <c r="B201" s="175"/>
    </row>
    <row r="202">
      <c r="B202" s="175"/>
    </row>
    <row r="203">
      <c r="B203" s="175"/>
    </row>
    <row r="204">
      <c r="B204" s="175"/>
    </row>
    <row r="205">
      <c r="B205" s="175"/>
    </row>
    <row r="206">
      <c r="B206" s="175"/>
    </row>
    <row r="207">
      <c r="B207" s="175"/>
    </row>
    <row r="208">
      <c r="B208" s="175"/>
    </row>
    <row r="209">
      <c r="B209" s="175"/>
    </row>
    <row r="210">
      <c r="B210" s="175"/>
    </row>
    <row r="211">
      <c r="B211" s="175"/>
    </row>
    <row r="212">
      <c r="B212" s="175"/>
    </row>
    <row r="213">
      <c r="B213" s="175"/>
    </row>
    <row r="214">
      <c r="B214" s="175"/>
    </row>
    <row r="215">
      <c r="B215" s="175"/>
    </row>
    <row r="216">
      <c r="B216" s="175"/>
    </row>
    <row r="217">
      <c r="B217" s="175"/>
    </row>
    <row r="218">
      <c r="B218" s="175"/>
    </row>
    <row r="219">
      <c r="B219" s="175"/>
    </row>
    <row r="220">
      <c r="B220" s="175"/>
    </row>
    <row r="221">
      <c r="B221" s="175"/>
    </row>
    <row r="222">
      <c r="B222" s="175"/>
    </row>
    <row r="223">
      <c r="B223" s="175"/>
    </row>
    <row r="224">
      <c r="B224" s="175"/>
    </row>
    <row r="225">
      <c r="B225" s="175"/>
    </row>
    <row r="226">
      <c r="B226" s="175"/>
    </row>
    <row r="227">
      <c r="B227" s="175"/>
    </row>
    <row r="228">
      <c r="B228" s="175"/>
    </row>
    <row r="229">
      <c r="B229" s="175"/>
    </row>
    <row r="230">
      <c r="B230" s="175"/>
    </row>
    <row r="231">
      <c r="B231" s="175"/>
    </row>
    <row r="232">
      <c r="B232" s="175"/>
    </row>
    <row r="233">
      <c r="B233" s="175"/>
    </row>
    <row r="234">
      <c r="B234" s="175"/>
    </row>
    <row r="235">
      <c r="B235" s="175"/>
    </row>
    <row r="236">
      <c r="B236" s="175"/>
    </row>
    <row r="237">
      <c r="B237" s="175"/>
    </row>
    <row r="238">
      <c r="B238" s="175"/>
    </row>
    <row r="239">
      <c r="B239" s="175"/>
    </row>
    <row r="240">
      <c r="B240" s="175"/>
    </row>
    <row r="241">
      <c r="B241" s="175"/>
    </row>
    <row r="242">
      <c r="B242" s="175"/>
    </row>
    <row r="243">
      <c r="B243" s="175"/>
    </row>
    <row r="244">
      <c r="B244" s="175"/>
    </row>
    <row r="245">
      <c r="B245" s="175"/>
    </row>
    <row r="246">
      <c r="B246" s="175"/>
    </row>
    <row r="247">
      <c r="B247" s="175"/>
    </row>
    <row r="248">
      <c r="B248" s="175"/>
    </row>
    <row r="249">
      <c r="B249" s="175"/>
    </row>
    <row r="250">
      <c r="B250" s="175"/>
    </row>
    <row r="251">
      <c r="B251" s="175"/>
    </row>
    <row r="252">
      <c r="B252" s="175"/>
    </row>
    <row r="253">
      <c r="B253" s="175"/>
    </row>
    <row r="254">
      <c r="B254" s="175"/>
    </row>
    <row r="255">
      <c r="B255" s="175"/>
    </row>
    <row r="256">
      <c r="B256" s="175"/>
    </row>
    <row r="257">
      <c r="B257" s="175"/>
    </row>
    <row r="258">
      <c r="B258" s="175"/>
    </row>
    <row r="259">
      <c r="B259" s="175"/>
    </row>
    <row r="260">
      <c r="B260" s="175"/>
    </row>
    <row r="261">
      <c r="B261" s="175"/>
    </row>
    <row r="262">
      <c r="B262" s="175"/>
    </row>
    <row r="263">
      <c r="B263" s="175"/>
    </row>
    <row r="264">
      <c r="B264" s="175"/>
    </row>
    <row r="265">
      <c r="B265" s="175"/>
    </row>
    <row r="266">
      <c r="B266" s="175"/>
    </row>
    <row r="267">
      <c r="B267" s="175"/>
    </row>
    <row r="268">
      <c r="B268" s="175"/>
    </row>
    <row r="269">
      <c r="B269" s="175"/>
    </row>
    <row r="270">
      <c r="B270" s="175"/>
    </row>
    <row r="271">
      <c r="B271" s="175"/>
    </row>
    <row r="272">
      <c r="B272" s="175"/>
    </row>
    <row r="273">
      <c r="B273" s="175"/>
    </row>
    <row r="274">
      <c r="B274" s="175"/>
    </row>
    <row r="275">
      <c r="B275" s="175"/>
    </row>
    <row r="276">
      <c r="B276" s="175"/>
    </row>
    <row r="277">
      <c r="B277" s="175"/>
    </row>
    <row r="278">
      <c r="B278" s="175"/>
    </row>
    <row r="279">
      <c r="B279" s="175"/>
    </row>
    <row r="280">
      <c r="B280" s="175"/>
    </row>
    <row r="281">
      <c r="B281" s="175"/>
    </row>
    <row r="282">
      <c r="B282" s="175"/>
    </row>
    <row r="283">
      <c r="B283" s="175"/>
    </row>
    <row r="284">
      <c r="B284" s="175"/>
    </row>
    <row r="285">
      <c r="B285" s="175"/>
    </row>
    <row r="286">
      <c r="B286" s="175"/>
    </row>
    <row r="287">
      <c r="B287" s="175"/>
    </row>
    <row r="288">
      <c r="B288" s="175"/>
    </row>
    <row r="289">
      <c r="B289" s="175"/>
    </row>
    <row r="290">
      <c r="B290" s="175"/>
    </row>
    <row r="291">
      <c r="B291" s="175"/>
    </row>
    <row r="292">
      <c r="B292" s="175"/>
    </row>
    <row r="293">
      <c r="B293" s="175"/>
    </row>
    <row r="294">
      <c r="B294" s="175"/>
    </row>
    <row r="295">
      <c r="B295" s="175"/>
    </row>
    <row r="296">
      <c r="B296" s="175"/>
    </row>
    <row r="297">
      <c r="B297" s="175"/>
    </row>
    <row r="298">
      <c r="B298" s="175"/>
    </row>
    <row r="299">
      <c r="B299" s="175"/>
    </row>
    <row r="300">
      <c r="B300" s="175"/>
    </row>
    <row r="301">
      <c r="B301" s="175"/>
    </row>
    <row r="302">
      <c r="B302" s="175"/>
    </row>
    <row r="303">
      <c r="B303" s="175"/>
    </row>
    <row r="304">
      <c r="B304" s="175"/>
    </row>
    <row r="305">
      <c r="B305" s="175"/>
    </row>
    <row r="306">
      <c r="B306" s="175"/>
    </row>
    <row r="307">
      <c r="B307" s="175"/>
    </row>
    <row r="308">
      <c r="B308" s="175"/>
    </row>
    <row r="309">
      <c r="B309" s="175"/>
    </row>
    <row r="310">
      <c r="B310" s="175"/>
    </row>
    <row r="311">
      <c r="B311" s="175"/>
    </row>
    <row r="312">
      <c r="B312" s="175"/>
    </row>
    <row r="313">
      <c r="B313" s="175"/>
    </row>
    <row r="314">
      <c r="B314" s="175"/>
    </row>
    <row r="315">
      <c r="B315" s="175"/>
    </row>
    <row r="316">
      <c r="B316" s="175"/>
    </row>
    <row r="317">
      <c r="B317" s="175"/>
    </row>
    <row r="318">
      <c r="B318" s="175"/>
    </row>
    <row r="319">
      <c r="B319" s="175"/>
    </row>
    <row r="320">
      <c r="B320" s="175"/>
    </row>
    <row r="321">
      <c r="B321" s="175"/>
    </row>
    <row r="322">
      <c r="B322" s="175"/>
    </row>
    <row r="323">
      <c r="B323" s="175"/>
    </row>
    <row r="324">
      <c r="B324" s="175"/>
    </row>
    <row r="325">
      <c r="B325" s="175"/>
    </row>
    <row r="326">
      <c r="B326" s="175"/>
    </row>
    <row r="327">
      <c r="B327" s="175"/>
    </row>
    <row r="328">
      <c r="B328" s="175"/>
    </row>
    <row r="329">
      <c r="B329" s="175"/>
    </row>
    <row r="330">
      <c r="B330" s="175"/>
    </row>
    <row r="331">
      <c r="B331" s="175"/>
    </row>
    <row r="332">
      <c r="B332" s="175"/>
    </row>
    <row r="333">
      <c r="B333" s="175"/>
    </row>
    <row r="334">
      <c r="B334" s="175"/>
    </row>
    <row r="335">
      <c r="B335" s="175"/>
    </row>
    <row r="336">
      <c r="B336" s="175"/>
    </row>
    <row r="337">
      <c r="B337" s="175"/>
    </row>
    <row r="338">
      <c r="B338" s="175"/>
    </row>
    <row r="339">
      <c r="B339" s="175"/>
    </row>
    <row r="340">
      <c r="B340" s="175"/>
    </row>
    <row r="341">
      <c r="B341" s="175"/>
    </row>
    <row r="342">
      <c r="B342" s="175"/>
    </row>
    <row r="343">
      <c r="B343" s="175"/>
    </row>
    <row r="344">
      <c r="B344" s="175"/>
    </row>
    <row r="345">
      <c r="B345" s="175"/>
    </row>
    <row r="346">
      <c r="B346" s="175"/>
    </row>
    <row r="347">
      <c r="B347" s="175"/>
    </row>
    <row r="348">
      <c r="B348" s="175"/>
    </row>
    <row r="349">
      <c r="B349" s="175"/>
    </row>
    <row r="350">
      <c r="B350" s="175"/>
    </row>
    <row r="351">
      <c r="B351" s="175"/>
    </row>
    <row r="352">
      <c r="B352" s="175"/>
    </row>
    <row r="353">
      <c r="B353" s="175"/>
    </row>
    <row r="354">
      <c r="B354" s="175"/>
    </row>
    <row r="355">
      <c r="B355" s="175"/>
    </row>
    <row r="356">
      <c r="B356" s="175"/>
    </row>
    <row r="357">
      <c r="B357" s="175"/>
    </row>
    <row r="358">
      <c r="B358" s="175"/>
    </row>
    <row r="359">
      <c r="B359" s="175"/>
    </row>
    <row r="360">
      <c r="B360" s="175"/>
    </row>
    <row r="361">
      <c r="B361" s="175"/>
    </row>
    <row r="362">
      <c r="B362" s="175"/>
    </row>
    <row r="363">
      <c r="B363" s="175"/>
    </row>
    <row r="364">
      <c r="B364" s="175"/>
    </row>
    <row r="365">
      <c r="B365" s="175"/>
    </row>
    <row r="366">
      <c r="B366" s="175"/>
    </row>
    <row r="367">
      <c r="B367" s="175"/>
    </row>
    <row r="368">
      <c r="B368" s="175"/>
    </row>
    <row r="369">
      <c r="B369" s="175"/>
    </row>
    <row r="370">
      <c r="B370" s="175"/>
    </row>
    <row r="371">
      <c r="B371" s="175"/>
    </row>
    <row r="372">
      <c r="B372" s="175"/>
    </row>
    <row r="373">
      <c r="B373" s="175"/>
    </row>
    <row r="374">
      <c r="B374" s="175"/>
    </row>
    <row r="375">
      <c r="B375" s="175"/>
    </row>
    <row r="376">
      <c r="B376" s="175"/>
    </row>
    <row r="377">
      <c r="B377" s="175"/>
    </row>
    <row r="378">
      <c r="B378" s="175"/>
    </row>
    <row r="379">
      <c r="B379" s="175"/>
    </row>
    <row r="380">
      <c r="B380" s="175"/>
    </row>
    <row r="381">
      <c r="B381" s="175"/>
    </row>
    <row r="382">
      <c r="B382" s="175"/>
    </row>
    <row r="383">
      <c r="B383" s="175"/>
    </row>
    <row r="384">
      <c r="B384" s="175"/>
    </row>
    <row r="385">
      <c r="B385" s="175"/>
    </row>
    <row r="386">
      <c r="B386" s="175"/>
    </row>
    <row r="387">
      <c r="B387" s="175"/>
    </row>
    <row r="388">
      <c r="B388" s="175"/>
    </row>
    <row r="389">
      <c r="B389" s="175"/>
    </row>
    <row r="390">
      <c r="B390" s="175"/>
    </row>
    <row r="391">
      <c r="B391" s="175"/>
    </row>
    <row r="392">
      <c r="B392" s="175"/>
    </row>
    <row r="393">
      <c r="B393" s="175"/>
    </row>
    <row r="394">
      <c r="B394" s="175"/>
    </row>
    <row r="395">
      <c r="B395" s="175"/>
    </row>
    <row r="396">
      <c r="B396" s="175"/>
    </row>
    <row r="397">
      <c r="B397" s="175"/>
    </row>
    <row r="398">
      <c r="B398" s="175"/>
    </row>
    <row r="399">
      <c r="B399" s="175"/>
    </row>
    <row r="400">
      <c r="B400" s="175"/>
    </row>
    <row r="401">
      <c r="B401" s="175"/>
    </row>
    <row r="402">
      <c r="B402" s="175"/>
    </row>
    <row r="403">
      <c r="B403" s="175"/>
    </row>
    <row r="404">
      <c r="B404" s="175"/>
    </row>
    <row r="405">
      <c r="B405" s="175"/>
    </row>
    <row r="406">
      <c r="B406" s="175"/>
    </row>
    <row r="407">
      <c r="B407" s="175"/>
    </row>
    <row r="408">
      <c r="B408" s="175"/>
    </row>
    <row r="409">
      <c r="B409" s="175"/>
    </row>
    <row r="410">
      <c r="B410" s="175"/>
    </row>
    <row r="411">
      <c r="B411" s="175"/>
    </row>
    <row r="412">
      <c r="B412" s="175"/>
    </row>
    <row r="413">
      <c r="B413" s="175"/>
    </row>
    <row r="414">
      <c r="B414" s="175"/>
    </row>
    <row r="415">
      <c r="B415" s="175"/>
    </row>
    <row r="416">
      <c r="B416" s="175"/>
    </row>
    <row r="417">
      <c r="B417" s="175"/>
    </row>
    <row r="418">
      <c r="B418" s="175"/>
    </row>
    <row r="419">
      <c r="B419" s="175"/>
    </row>
    <row r="420">
      <c r="B420" s="175"/>
    </row>
    <row r="421">
      <c r="B421" s="175"/>
    </row>
    <row r="422">
      <c r="B422" s="175"/>
    </row>
    <row r="423">
      <c r="B423" s="175"/>
    </row>
    <row r="424">
      <c r="B424" s="175"/>
    </row>
    <row r="425">
      <c r="B425" s="175"/>
    </row>
    <row r="426">
      <c r="B426" s="175"/>
    </row>
    <row r="427">
      <c r="B427" s="175"/>
    </row>
    <row r="428">
      <c r="B428" s="175"/>
    </row>
    <row r="429">
      <c r="B429" s="175"/>
    </row>
    <row r="430">
      <c r="B430" s="175"/>
    </row>
    <row r="431">
      <c r="B431" s="175"/>
    </row>
    <row r="432">
      <c r="B432" s="175"/>
    </row>
    <row r="433">
      <c r="B433" s="175"/>
    </row>
    <row r="434">
      <c r="B434" s="175"/>
    </row>
    <row r="435">
      <c r="B435" s="175"/>
    </row>
    <row r="436">
      <c r="B436" s="175"/>
    </row>
    <row r="437">
      <c r="B437" s="175"/>
    </row>
    <row r="438">
      <c r="B438" s="175"/>
    </row>
    <row r="439">
      <c r="B439" s="175"/>
    </row>
    <row r="440">
      <c r="B440" s="175"/>
    </row>
    <row r="441">
      <c r="B441" s="175"/>
    </row>
    <row r="442">
      <c r="B442" s="175"/>
    </row>
    <row r="443">
      <c r="B443" s="175"/>
    </row>
    <row r="444">
      <c r="B444" s="175"/>
    </row>
    <row r="445">
      <c r="B445" s="175"/>
    </row>
    <row r="446">
      <c r="B446" s="175"/>
    </row>
    <row r="447">
      <c r="B447" s="175"/>
    </row>
    <row r="448">
      <c r="B448" s="175"/>
    </row>
    <row r="449">
      <c r="B449" s="175"/>
    </row>
    <row r="450">
      <c r="B450" s="175"/>
    </row>
    <row r="451">
      <c r="B451" s="175"/>
    </row>
    <row r="452">
      <c r="B452" s="175"/>
    </row>
    <row r="453">
      <c r="B453" s="175"/>
    </row>
    <row r="454">
      <c r="B454" s="175"/>
    </row>
    <row r="455">
      <c r="B455" s="175"/>
    </row>
    <row r="456">
      <c r="B456" s="175"/>
    </row>
    <row r="457">
      <c r="B457" s="175"/>
    </row>
    <row r="458">
      <c r="B458" s="175"/>
    </row>
    <row r="459">
      <c r="B459" s="175"/>
    </row>
    <row r="460">
      <c r="B460" s="175"/>
    </row>
    <row r="461">
      <c r="B461" s="175"/>
    </row>
    <row r="462">
      <c r="B462" s="175"/>
    </row>
    <row r="463">
      <c r="B463" s="175"/>
    </row>
    <row r="464">
      <c r="B464" s="175"/>
    </row>
    <row r="465">
      <c r="B465" s="175"/>
    </row>
    <row r="466">
      <c r="B466" s="175"/>
    </row>
    <row r="467">
      <c r="B467" s="175"/>
    </row>
    <row r="468">
      <c r="B468" s="175"/>
    </row>
    <row r="469">
      <c r="B469" s="175"/>
    </row>
    <row r="470">
      <c r="B470" s="175"/>
    </row>
    <row r="471">
      <c r="B471" s="175"/>
    </row>
    <row r="472">
      <c r="B472" s="175"/>
    </row>
    <row r="473">
      <c r="B473" s="175"/>
    </row>
    <row r="474">
      <c r="B474" s="175"/>
    </row>
    <row r="475">
      <c r="B475" s="175"/>
    </row>
    <row r="476">
      <c r="B476" s="175"/>
    </row>
    <row r="477">
      <c r="B477" s="175"/>
    </row>
    <row r="478">
      <c r="B478" s="175"/>
    </row>
    <row r="479">
      <c r="B479" s="175"/>
    </row>
    <row r="480">
      <c r="B480" s="175"/>
    </row>
    <row r="481">
      <c r="B481" s="175"/>
    </row>
    <row r="482">
      <c r="B482" s="175"/>
    </row>
    <row r="483">
      <c r="B483" s="175"/>
    </row>
    <row r="484">
      <c r="B484" s="175"/>
    </row>
    <row r="485">
      <c r="B485" s="175"/>
    </row>
    <row r="486">
      <c r="B486" s="175"/>
    </row>
    <row r="487">
      <c r="B487" s="175"/>
    </row>
    <row r="488">
      <c r="B488" s="175"/>
    </row>
    <row r="489">
      <c r="B489" s="175"/>
    </row>
    <row r="490">
      <c r="B490" s="175"/>
    </row>
    <row r="491">
      <c r="B491" s="175"/>
    </row>
    <row r="492">
      <c r="B492" s="175"/>
    </row>
    <row r="493">
      <c r="B493" s="175"/>
    </row>
    <row r="494">
      <c r="B494" s="175"/>
    </row>
    <row r="495">
      <c r="B495" s="175"/>
    </row>
    <row r="496">
      <c r="B496" s="175"/>
    </row>
    <row r="497">
      <c r="B497" s="175"/>
    </row>
    <row r="498">
      <c r="B498" s="175"/>
    </row>
    <row r="499">
      <c r="B499" s="175"/>
    </row>
    <row r="500">
      <c r="B500" s="175"/>
    </row>
    <row r="501">
      <c r="B501" s="175"/>
    </row>
    <row r="502">
      <c r="B502" s="175"/>
    </row>
    <row r="503">
      <c r="B503" s="175"/>
    </row>
    <row r="504">
      <c r="B504" s="175"/>
    </row>
    <row r="505">
      <c r="B505" s="175"/>
    </row>
    <row r="506">
      <c r="B506" s="175"/>
    </row>
    <row r="507">
      <c r="B507" s="175"/>
    </row>
    <row r="508">
      <c r="B508" s="175"/>
    </row>
    <row r="509">
      <c r="B509" s="175"/>
    </row>
    <row r="510">
      <c r="B510" s="175"/>
    </row>
    <row r="511">
      <c r="B511" s="175"/>
    </row>
    <row r="512">
      <c r="B512" s="175"/>
    </row>
    <row r="513">
      <c r="B513" s="175"/>
    </row>
    <row r="514">
      <c r="B514" s="175"/>
    </row>
    <row r="515">
      <c r="B515" s="175"/>
    </row>
    <row r="516">
      <c r="B516" s="175"/>
    </row>
    <row r="517">
      <c r="B517" s="175"/>
    </row>
    <row r="518">
      <c r="B518" s="175"/>
    </row>
    <row r="519">
      <c r="B519" s="175"/>
    </row>
    <row r="520">
      <c r="B520" s="175"/>
    </row>
    <row r="521">
      <c r="B521" s="175"/>
    </row>
    <row r="522">
      <c r="B522" s="175"/>
    </row>
    <row r="523">
      <c r="B523" s="175"/>
    </row>
    <row r="524">
      <c r="B524" s="175"/>
    </row>
    <row r="525">
      <c r="B525" s="175"/>
    </row>
    <row r="526">
      <c r="B526" s="175"/>
    </row>
    <row r="527">
      <c r="B527" s="175"/>
    </row>
    <row r="528">
      <c r="B528" s="175"/>
    </row>
    <row r="529">
      <c r="B529" s="175"/>
    </row>
    <row r="530">
      <c r="B530" s="175"/>
    </row>
    <row r="531">
      <c r="B531" s="175"/>
    </row>
    <row r="532">
      <c r="B532" s="175"/>
    </row>
    <row r="533">
      <c r="B533" s="175"/>
    </row>
    <row r="534">
      <c r="B534" s="175"/>
    </row>
    <row r="535">
      <c r="B535" s="175"/>
    </row>
    <row r="536">
      <c r="B536" s="175"/>
    </row>
    <row r="537">
      <c r="B537" s="175"/>
    </row>
    <row r="538">
      <c r="B538" s="175"/>
    </row>
    <row r="539">
      <c r="B539" s="175"/>
    </row>
    <row r="540">
      <c r="B540" s="175"/>
    </row>
    <row r="541">
      <c r="B541" s="175"/>
    </row>
    <row r="542">
      <c r="B542" s="175"/>
    </row>
    <row r="543">
      <c r="B543" s="175"/>
    </row>
    <row r="544">
      <c r="B544" s="175"/>
    </row>
    <row r="545">
      <c r="B545" s="175"/>
    </row>
    <row r="546">
      <c r="B546" s="175"/>
    </row>
    <row r="547">
      <c r="B547" s="175"/>
    </row>
    <row r="548">
      <c r="B548" s="175"/>
    </row>
    <row r="549">
      <c r="B549" s="175"/>
    </row>
    <row r="550">
      <c r="B550" s="175"/>
    </row>
    <row r="551">
      <c r="B551" s="175"/>
    </row>
    <row r="552">
      <c r="B552" s="175"/>
    </row>
    <row r="553">
      <c r="B553" s="175"/>
    </row>
    <row r="554">
      <c r="B554" s="175"/>
    </row>
    <row r="555">
      <c r="B555" s="175"/>
    </row>
    <row r="556">
      <c r="B556" s="175"/>
    </row>
    <row r="557">
      <c r="B557" s="175"/>
    </row>
    <row r="558">
      <c r="B558" s="175"/>
    </row>
    <row r="559">
      <c r="B559" s="175"/>
    </row>
    <row r="560">
      <c r="B560" s="175"/>
    </row>
    <row r="561">
      <c r="B561" s="175"/>
    </row>
    <row r="562">
      <c r="B562" s="175"/>
    </row>
    <row r="563">
      <c r="B563" s="175"/>
    </row>
    <row r="564">
      <c r="B564" s="175"/>
    </row>
    <row r="565">
      <c r="B565" s="175"/>
    </row>
    <row r="566">
      <c r="B566" s="175"/>
    </row>
    <row r="567">
      <c r="B567" s="175"/>
    </row>
    <row r="568">
      <c r="B568" s="175"/>
    </row>
    <row r="569">
      <c r="B569" s="175"/>
    </row>
    <row r="570">
      <c r="B570" s="175"/>
    </row>
    <row r="571">
      <c r="B571" s="175"/>
    </row>
    <row r="572">
      <c r="B572" s="175"/>
    </row>
    <row r="573">
      <c r="B573" s="175"/>
    </row>
    <row r="574">
      <c r="B574" s="175"/>
    </row>
    <row r="575">
      <c r="B575" s="175"/>
    </row>
    <row r="576">
      <c r="B576" s="175"/>
    </row>
    <row r="577">
      <c r="B577" s="175"/>
    </row>
    <row r="578">
      <c r="B578" s="175"/>
    </row>
    <row r="579">
      <c r="B579" s="175"/>
    </row>
    <row r="580">
      <c r="B580" s="175"/>
    </row>
    <row r="581">
      <c r="B581" s="175"/>
    </row>
    <row r="582">
      <c r="B582" s="175"/>
    </row>
    <row r="583">
      <c r="B583" s="175"/>
    </row>
    <row r="584">
      <c r="B584" s="175"/>
    </row>
    <row r="585">
      <c r="B585" s="175"/>
    </row>
    <row r="586">
      <c r="B586" s="175"/>
    </row>
    <row r="587">
      <c r="B587" s="175"/>
    </row>
    <row r="588">
      <c r="B588" s="175"/>
    </row>
    <row r="589">
      <c r="B589" s="175"/>
    </row>
    <row r="590">
      <c r="B590" s="175"/>
    </row>
    <row r="591">
      <c r="B591" s="175"/>
    </row>
    <row r="592">
      <c r="B592" s="175"/>
    </row>
    <row r="593">
      <c r="B593" s="175"/>
    </row>
    <row r="594">
      <c r="B594" s="175"/>
    </row>
    <row r="595">
      <c r="B595" s="175"/>
    </row>
    <row r="596">
      <c r="B596" s="175"/>
    </row>
    <row r="597">
      <c r="B597" s="175"/>
    </row>
    <row r="598">
      <c r="B598" s="175"/>
    </row>
    <row r="599">
      <c r="B599" s="175"/>
    </row>
    <row r="600">
      <c r="B600" s="175"/>
    </row>
    <row r="601">
      <c r="B601" s="175"/>
    </row>
    <row r="602">
      <c r="B602" s="175"/>
    </row>
    <row r="603">
      <c r="B603" s="175"/>
    </row>
    <row r="604">
      <c r="B604" s="175"/>
    </row>
    <row r="605">
      <c r="B605" s="175"/>
    </row>
    <row r="606">
      <c r="B606" s="175"/>
    </row>
    <row r="607">
      <c r="B607" s="175"/>
    </row>
    <row r="608">
      <c r="B608" s="175"/>
    </row>
    <row r="609">
      <c r="B609" s="175"/>
    </row>
    <row r="610">
      <c r="B610" s="175"/>
    </row>
    <row r="611">
      <c r="B611" s="175"/>
    </row>
    <row r="612">
      <c r="B612" s="175"/>
    </row>
    <row r="613">
      <c r="B613" s="175"/>
    </row>
    <row r="614">
      <c r="B614" s="175"/>
    </row>
    <row r="615">
      <c r="B615" s="175"/>
    </row>
    <row r="616">
      <c r="B616" s="175"/>
    </row>
    <row r="617">
      <c r="B617" s="175"/>
    </row>
    <row r="618">
      <c r="B618" s="175"/>
    </row>
    <row r="619">
      <c r="B619" s="175"/>
    </row>
    <row r="620">
      <c r="B620" s="175"/>
    </row>
    <row r="621">
      <c r="B621" s="175"/>
    </row>
    <row r="622">
      <c r="B622" s="175"/>
    </row>
    <row r="623">
      <c r="B623" s="175"/>
    </row>
    <row r="624">
      <c r="B624" s="175"/>
    </row>
    <row r="625">
      <c r="B625" s="175"/>
    </row>
    <row r="626">
      <c r="B626" s="175"/>
    </row>
    <row r="627">
      <c r="B627" s="175"/>
    </row>
    <row r="628">
      <c r="B628" s="175"/>
    </row>
    <row r="629">
      <c r="B629" s="175"/>
    </row>
    <row r="630">
      <c r="B630" s="175"/>
    </row>
    <row r="631">
      <c r="B631" s="175"/>
    </row>
    <row r="632">
      <c r="B632" s="175"/>
    </row>
    <row r="633">
      <c r="B633" s="175"/>
    </row>
    <row r="634">
      <c r="B634" s="175"/>
    </row>
    <row r="635">
      <c r="B635" s="175"/>
    </row>
    <row r="636">
      <c r="B636" s="175"/>
    </row>
    <row r="637">
      <c r="B637" s="175"/>
    </row>
    <row r="638">
      <c r="B638" s="175"/>
    </row>
    <row r="639">
      <c r="B639" s="175"/>
    </row>
    <row r="640">
      <c r="B640" s="175"/>
    </row>
    <row r="641">
      <c r="B641" s="175"/>
    </row>
    <row r="642">
      <c r="B642" s="175"/>
    </row>
    <row r="643">
      <c r="B643" s="175"/>
    </row>
    <row r="644">
      <c r="B644" s="175"/>
    </row>
    <row r="645">
      <c r="B645" s="175"/>
    </row>
    <row r="646">
      <c r="B646" s="175"/>
    </row>
    <row r="647">
      <c r="B647" s="175"/>
    </row>
    <row r="648">
      <c r="B648" s="175"/>
    </row>
    <row r="649">
      <c r="B649" s="175"/>
    </row>
    <row r="650">
      <c r="B650" s="175"/>
    </row>
    <row r="651">
      <c r="B651" s="175"/>
    </row>
    <row r="652">
      <c r="B652" s="175"/>
    </row>
    <row r="653">
      <c r="B653" s="175"/>
    </row>
    <row r="654">
      <c r="B654" s="175"/>
    </row>
    <row r="655">
      <c r="B655" s="175"/>
    </row>
    <row r="656">
      <c r="B656" s="175"/>
    </row>
    <row r="657">
      <c r="B657" s="175"/>
    </row>
    <row r="658">
      <c r="B658" s="175"/>
    </row>
    <row r="659">
      <c r="B659" s="175"/>
    </row>
    <row r="660">
      <c r="B660" s="175"/>
    </row>
    <row r="661">
      <c r="B661" s="175"/>
    </row>
    <row r="662">
      <c r="B662" s="175"/>
    </row>
    <row r="663">
      <c r="B663" s="175"/>
    </row>
    <row r="664">
      <c r="B664" s="175"/>
    </row>
    <row r="665">
      <c r="B665" s="175"/>
    </row>
    <row r="666">
      <c r="B666" s="175"/>
    </row>
    <row r="667">
      <c r="B667" s="175"/>
    </row>
    <row r="668">
      <c r="B668" s="175"/>
    </row>
    <row r="669">
      <c r="B669" s="175"/>
    </row>
    <row r="670">
      <c r="B670" s="175"/>
    </row>
    <row r="671">
      <c r="B671" s="175"/>
    </row>
    <row r="672">
      <c r="B672" s="175"/>
    </row>
    <row r="673">
      <c r="B673" s="175"/>
    </row>
    <row r="674">
      <c r="B674" s="175"/>
    </row>
    <row r="675">
      <c r="B675" s="175"/>
    </row>
    <row r="676">
      <c r="B676" s="175"/>
    </row>
    <row r="677">
      <c r="B677" s="175"/>
    </row>
    <row r="678">
      <c r="B678" s="175"/>
    </row>
    <row r="679">
      <c r="B679" s="175"/>
    </row>
    <row r="680">
      <c r="B680" s="175"/>
    </row>
    <row r="681">
      <c r="B681" s="175"/>
    </row>
    <row r="682">
      <c r="B682" s="175"/>
    </row>
    <row r="683">
      <c r="B683" s="175"/>
    </row>
    <row r="684">
      <c r="B684" s="175"/>
    </row>
    <row r="685">
      <c r="B685" s="175"/>
    </row>
    <row r="686">
      <c r="B686" s="175"/>
    </row>
    <row r="687">
      <c r="B687" s="175"/>
    </row>
    <row r="688">
      <c r="B688" s="175"/>
    </row>
    <row r="689">
      <c r="B689" s="175"/>
    </row>
    <row r="690">
      <c r="B690" s="175"/>
    </row>
    <row r="691">
      <c r="B691" s="175"/>
    </row>
    <row r="692">
      <c r="B692" s="175"/>
    </row>
    <row r="693">
      <c r="B693" s="175"/>
    </row>
    <row r="694">
      <c r="B694" s="175"/>
    </row>
    <row r="695">
      <c r="B695" s="175"/>
    </row>
    <row r="696">
      <c r="B696" s="175"/>
    </row>
    <row r="697">
      <c r="B697" s="175"/>
    </row>
    <row r="698">
      <c r="B698" s="175"/>
    </row>
    <row r="699">
      <c r="B699" s="175"/>
    </row>
    <row r="700">
      <c r="B700" s="175"/>
    </row>
    <row r="701">
      <c r="B701" s="175"/>
    </row>
    <row r="702">
      <c r="B702" s="175"/>
    </row>
    <row r="703">
      <c r="B703" s="175"/>
    </row>
    <row r="704">
      <c r="B704" s="175"/>
    </row>
    <row r="705">
      <c r="B705" s="175"/>
    </row>
    <row r="706">
      <c r="B706" s="175"/>
    </row>
    <row r="707">
      <c r="B707" s="175"/>
    </row>
    <row r="708">
      <c r="B708" s="175"/>
    </row>
    <row r="709">
      <c r="B709" s="175"/>
    </row>
    <row r="710">
      <c r="B710" s="175"/>
    </row>
    <row r="711">
      <c r="B711" s="175"/>
    </row>
    <row r="712">
      <c r="B712" s="175"/>
    </row>
    <row r="713">
      <c r="B713" s="175"/>
    </row>
    <row r="714">
      <c r="B714" s="175"/>
    </row>
    <row r="715">
      <c r="B715" s="175"/>
    </row>
    <row r="716">
      <c r="B716" s="175"/>
    </row>
    <row r="717">
      <c r="B717" s="175"/>
    </row>
    <row r="718">
      <c r="B718" s="175"/>
    </row>
    <row r="719">
      <c r="B719" s="175"/>
    </row>
    <row r="720">
      <c r="B720" s="175"/>
    </row>
    <row r="721">
      <c r="B721" s="175"/>
    </row>
    <row r="722">
      <c r="B722" s="175"/>
    </row>
    <row r="723">
      <c r="B723" s="175"/>
    </row>
    <row r="724">
      <c r="B724" s="175"/>
    </row>
    <row r="725">
      <c r="B725" s="175"/>
    </row>
    <row r="726">
      <c r="B726" s="175"/>
    </row>
    <row r="727">
      <c r="B727" s="175"/>
    </row>
    <row r="728">
      <c r="B728" s="175"/>
    </row>
    <row r="729">
      <c r="B729" s="175"/>
    </row>
    <row r="730">
      <c r="B730" s="175"/>
    </row>
    <row r="731">
      <c r="B731" s="175"/>
    </row>
    <row r="732">
      <c r="B732" s="175"/>
    </row>
    <row r="733">
      <c r="B733" s="175"/>
    </row>
    <row r="734">
      <c r="B734" s="175"/>
    </row>
    <row r="735">
      <c r="B735" s="175"/>
    </row>
    <row r="736">
      <c r="B736" s="175"/>
    </row>
    <row r="737">
      <c r="B737" s="175"/>
    </row>
    <row r="738">
      <c r="B738" s="175"/>
    </row>
    <row r="739">
      <c r="B739" s="175"/>
    </row>
    <row r="740">
      <c r="B740" s="175"/>
    </row>
    <row r="741">
      <c r="B741" s="175"/>
    </row>
    <row r="742">
      <c r="B742" s="175"/>
    </row>
    <row r="743">
      <c r="B743" s="175"/>
    </row>
    <row r="744">
      <c r="B744" s="175"/>
    </row>
    <row r="745">
      <c r="B745" s="175"/>
    </row>
    <row r="746">
      <c r="B746" s="175"/>
    </row>
    <row r="747">
      <c r="B747" s="175"/>
    </row>
    <row r="748">
      <c r="B748" s="175"/>
    </row>
    <row r="749">
      <c r="B749" s="175"/>
    </row>
    <row r="750">
      <c r="B750" s="175"/>
    </row>
    <row r="751">
      <c r="B751" s="175"/>
    </row>
    <row r="752">
      <c r="B752" s="175"/>
    </row>
    <row r="753">
      <c r="B753" s="175"/>
    </row>
    <row r="754">
      <c r="B754" s="175"/>
    </row>
    <row r="755">
      <c r="B755" s="175"/>
    </row>
    <row r="756">
      <c r="B756" s="175"/>
    </row>
    <row r="757">
      <c r="B757" s="175"/>
    </row>
    <row r="758">
      <c r="B758" s="175"/>
    </row>
    <row r="759">
      <c r="B759" s="175"/>
    </row>
    <row r="760">
      <c r="B760" s="175"/>
    </row>
    <row r="761">
      <c r="B761" s="175"/>
    </row>
    <row r="762">
      <c r="B762" s="175"/>
    </row>
    <row r="763">
      <c r="B763" s="175"/>
    </row>
    <row r="764">
      <c r="B764" s="175"/>
    </row>
    <row r="765">
      <c r="B765" s="175"/>
    </row>
    <row r="766">
      <c r="B766" s="175"/>
    </row>
    <row r="767">
      <c r="B767" s="175"/>
    </row>
    <row r="768">
      <c r="B768" s="175"/>
    </row>
    <row r="769">
      <c r="B769" s="175"/>
    </row>
    <row r="770">
      <c r="B770" s="175"/>
    </row>
    <row r="771">
      <c r="B771" s="175"/>
    </row>
    <row r="772">
      <c r="B772" s="175"/>
    </row>
    <row r="773">
      <c r="B773" s="175"/>
    </row>
    <row r="774">
      <c r="B774" s="175"/>
    </row>
    <row r="775">
      <c r="B775" s="175"/>
    </row>
    <row r="776">
      <c r="B776" s="175"/>
    </row>
    <row r="777">
      <c r="B777" s="175"/>
    </row>
    <row r="778">
      <c r="B778" s="175"/>
    </row>
    <row r="779">
      <c r="B779" s="175"/>
    </row>
    <row r="780">
      <c r="B780" s="175"/>
    </row>
    <row r="781">
      <c r="B781" s="175"/>
    </row>
    <row r="782">
      <c r="B782" s="175"/>
    </row>
    <row r="783">
      <c r="B783" s="175"/>
    </row>
    <row r="784">
      <c r="B784" s="175"/>
    </row>
    <row r="785">
      <c r="B785" s="175"/>
    </row>
    <row r="786">
      <c r="B786" s="175"/>
    </row>
    <row r="787">
      <c r="B787" s="175"/>
    </row>
    <row r="788">
      <c r="B788" s="175"/>
    </row>
    <row r="789">
      <c r="B789" s="175"/>
    </row>
    <row r="790">
      <c r="B790" s="175"/>
    </row>
    <row r="791">
      <c r="B791" s="175"/>
    </row>
    <row r="792">
      <c r="B792" s="175"/>
    </row>
    <row r="793">
      <c r="B793" s="175"/>
    </row>
    <row r="794">
      <c r="B794" s="175"/>
    </row>
    <row r="795">
      <c r="B795" s="175"/>
    </row>
    <row r="796">
      <c r="B796" s="175"/>
    </row>
    <row r="797">
      <c r="B797" s="175"/>
    </row>
    <row r="798">
      <c r="B798" s="175"/>
    </row>
    <row r="799">
      <c r="B799" s="175"/>
    </row>
    <row r="800">
      <c r="B800" s="175"/>
    </row>
    <row r="801">
      <c r="B801" s="175"/>
    </row>
    <row r="802">
      <c r="B802" s="175"/>
    </row>
    <row r="803">
      <c r="B803" s="175"/>
    </row>
    <row r="804">
      <c r="B804" s="175"/>
    </row>
    <row r="805">
      <c r="B805" s="175"/>
    </row>
    <row r="806">
      <c r="B806" s="175"/>
    </row>
    <row r="807">
      <c r="B807" s="175"/>
    </row>
    <row r="808">
      <c r="B808" s="175"/>
    </row>
    <row r="809">
      <c r="B809" s="175"/>
    </row>
    <row r="810">
      <c r="B810" s="175"/>
    </row>
    <row r="811">
      <c r="B811" s="175"/>
    </row>
    <row r="812">
      <c r="B812" s="175"/>
    </row>
    <row r="813">
      <c r="B813" s="175"/>
    </row>
    <row r="814">
      <c r="B814" s="175"/>
    </row>
    <row r="815">
      <c r="B815" s="175"/>
    </row>
    <row r="816">
      <c r="B816" s="175"/>
    </row>
    <row r="817">
      <c r="B817" s="175"/>
    </row>
    <row r="818">
      <c r="B818" s="175"/>
    </row>
    <row r="819">
      <c r="B819" s="175"/>
    </row>
    <row r="820">
      <c r="B820" s="175"/>
    </row>
    <row r="821">
      <c r="B821" s="175"/>
    </row>
    <row r="822">
      <c r="B822" s="175"/>
    </row>
    <row r="823">
      <c r="B823" s="175"/>
    </row>
    <row r="824">
      <c r="B824" s="175"/>
    </row>
    <row r="825">
      <c r="B825" s="175"/>
    </row>
    <row r="826">
      <c r="B826" s="175"/>
    </row>
    <row r="827">
      <c r="B827" s="175"/>
    </row>
    <row r="828">
      <c r="B828" s="175"/>
    </row>
    <row r="829">
      <c r="B829" s="175"/>
    </row>
    <row r="830">
      <c r="B830" s="175"/>
    </row>
    <row r="831">
      <c r="B831" s="175"/>
    </row>
    <row r="832">
      <c r="B832" s="175"/>
    </row>
    <row r="833">
      <c r="B833" s="175"/>
    </row>
    <row r="834">
      <c r="B834" s="175"/>
    </row>
    <row r="835">
      <c r="B835" s="175"/>
    </row>
    <row r="836">
      <c r="B836" s="175"/>
    </row>
    <row r="837">
      <c r="B837" s="175"/>
    </row>
    <row r="838">
      <c r="B838" s="175"/>
    </row>
    <row r="839">
      <c r="B839" s="175"/>
    </row>
    <row r="840">
      <c r="B840" s="175"/>
    </row>
    <row r="841">
      <c r="B841" s="175"/>
    </row>
    <row r="842">
      <c r="B842" s="175"/>
    </row>
    <row r="843">
      <c r="B843" s="175"/>
    </row>
    <row r="844">
      <c r="B844" s="175"/>
    </row>
    <row r="845">
      <c r="B845" s="175"/>
    </row>
    <row r="846">
      <c r="B846" s="175"/>
    </row>
    <row r="847">
      <c r="B847" s="175"/>
    </row>
    <row r="848">
      <c r="B848" s="175"/>
    </row>
    <row r="849">
      <c r="B849" s="175"/>
    </row>
    <row r="850">
      <c r="B850" s="175"/>
    </row>
    <row r="851">
      <c r="B851" s="175"/>
    </row>
    <row r="852">
      <c r="B852" s="175"/>
    </row>
    <row r="853">
      <c r="B853" s="175"/>
    </row>
    <row r="854">
      <c r="B854" s="175"/>
    </row>
    <row r="855">
      <c r="B855" s="175"/>
    </row>
    <row r="856">
      <c r="B856" s="175"/>
    </row>
    <row r="857">
      <c r="B857" s="175"/>
    </row>
    <row r="858">
      <c r="B858" s="175"/>
    </row>
    <row r="859">
      <c r="B859" s="175"/>
    </row>
    <row r="860">
      <c r="B860" s="175"/>
    </row>
    <row r="861">
      <c r="B861" s="175"/>
    </row>
    <row r="862">
      <c r="B862" s="175"/>
    </row>
    <row r="863">
      <c r="B863" s="175"/>
    </row>
    <row r="864">
      <c r="B864" s="175"/>
    </row>
    <row r="865">
      <c r="B865" s="175"/>
    </row>
    <row r="866">
      <c r="B866" s="175"/>
    </row>
    <row r="867">
      <c r="B867" s="175"/>
    </row>
    <row r="868">
      <c r="B868" s="175"/>
    </row>
    <row r="869">
      <c r="B869" s="175"/>
    </row>
    <row r="870">
      <c r="B870" s="175"/>
    </row>
    <row r="871">
      <c r="B871" s="175"/>
    </row>
    <row r="872">
      <c r="B872" s="175"/>
    </row>
    <row r="873">
      <c r="B873" s="175"/>
    </row>
    <row r="874">
      <c r="B874" s="175"/>
    </row>
    <row r="875">
      <c r="B875" s="175"/>
    </row>
    <row r="876">
      <c r="B876" s="175"/>
    </row>
    <row r="877">
      <c r="B877" s="175"/>
    </row>
    <row r="878">
      <c r="B878" s="175"/>
    </row>
    <row r="879">
      <c r="B879" s="175"/>
    </row>
    <row r="880">
      <c r="B880" s="175"/>
    </row>
    <row r="881">
      <c r="B881" s="175"/>
    </row>
    <row r="882">
      <c r="B882" s="175"/>
    </row>
    <row r="883">
      <c r="B883" s="175"/>
    </row>
    <row r="884">
      <c r="B884" s="175"/>
    </row>
    <row r="885">
      <c r="B885" s="175"/>
    </row>
    <row r="886">
      <c r="B886" s="175"/>
    </row>
    <row r="887">
      <c r="B887" s="175"/>
    </row>
    <row r="888">
      <c r="B888" s="175"/>
    </row>
    <row r="889">
      <c r="B889" s="175"/>
    </row>
    <row r="890">
      <c r="B890" s="175"/>
    </row>
    <row r="891">
      <c r="B891" s="175"/>
    </row>
    <row r="892">
      <c r="B892" s="175"/>
    </row>
    <row r="893">
      <c r="B893" s="175"/>
    </row>
    <row r="894">
      <c r="B894" s="175"/>
    </row>
    <row r="895">
      <c r="B895" s="175"/>
    </row>
    <row r="896">
      <c r="B896" s="175"/>
    </row>
    <row r="897">
      <c r="B897" s="175"/>
    </row>
    <row r="898">
      <c r="B898" s="175"/>
    </row>
    <row r="899">
      <c r="B899" s="175"/>
    </row>
    <row r="900">
      <c r="B900" s="175"/>
    </row>
    <row r="901">
      <c r="B901" s="175"/>
    </row>
    <row r="902">
      <c r="B902" s="175"/>
    </row>
    <row r="903">
      <c r="B903" s="175"/>
    </row>
    <row r="904">
      <c r="B904" s="175"/>
    </row>
    <row r="905">
      <c r="B905" s="175"/>
    </row>
    <row r="906">
      <c r="B906" s="175"/>
    </row>
    <row r="907">
      <c r="B907" s="175"/>
    </row>
    <row r="908">
      <c r="B908" s="175"/>
    </row>
    <row r="909">
      <c r="B909" s="175"/>
    </row>
    <row r="910">
      <c r="B910" s="175"/>
    </row>
    <row r="911">
      <c r="B911" s="175"/>
    </row>
    <row r="912">
      <c r="B912" s="175"/>
    </row>
    <row r="913">
      <c r="B913" s="175"/>
    </row>
    <row r="914">
      <c r="B914" s="175"/>
    </row>
    <row r="915">
      <c r="B915" s="175"/>
    </row>
    <row r="916">
      <c r="B916" s="175"/>
    </row>
    <row r="917">
      <c r="B917" s="175"/>
    </row>
    <row r="918">
      <c r="B918" s="175"/>
    </row>
    <row r="919">
      <c r="B919" s="175"/>
    </row>
    <row r="920">
      <c r="B920" s="175"/>
    </row>
    <row r="921">
      <c r="B921" s="175"/>
    </row>
    <row r="922">
      <c r="B922" s="175"/>
    </row>
    <row r="923">
      <c r="B923" s="175"/>
    </row>
    <row r="924">
      <c r="B924" s="175"/>
    </row>
    <row r="925">
      <c r="B925" s="175"/>
    </row>
    <row r="926">
      <c r="B926" s="175"/>
    </row>
    <row r="927">
      <c r="B927" s="175"/>
    </row>
    <row r="928">
      <c r="B928" s="175"/>
    </row>
    <row r="929">
      <c r="B929" s="175"/>
    </row>
    <row r="930">
      <c r="B930" s="175"/>
    </row>
    <row r="931">
      <c r="B931" s="175"/>
    </row>
    <row r="932">
      <c r="B932" s="175"/>
    </row>
    <row r="933">
      <c r="B933" s="175"/>
    </row>
    <row r="934">
      <c r="B934" s="175"/>
    </row>
    <row r="935">
      <c r="B935" s="175"/>
    </row>
    <row r="936">
      <c r="B936" s="175"/>
    </row>
    <row r="937">
      <c r="B937" s="175"/>
    </row>
    <row r="938">
      <c r="B938" s="175"/>
    </row>
    <row r="939">
      <c r="B939" s="175"/>
    </row>
    <row r="940">
      <c r="B940" s="175"/>
    </row>
    <row r="941">
      <c r="B941" s="175"/>
    </row>
    <row r="942">
      <c r="B942" s="175"/>
    </row>
    <row r="943">
      <c r="B943" s="175"/>
    </row>
    <row r="944">
      <c r="B944" s="175"/>
    </row>
    <row r="945">
      <c r="B945" s="175"/>
    </row>
    <row r="946">
      <c r="B946" s="175"/>
    </row>
    <row r="947">
      <c r="B947" s="175"/>
    </row>
    <row r="948">
      <c r="B948" s="175"/>
    </row>
    <row r="949">
      <c r="B949" s="175"/>
    </row>
    <row r="950">
      <c r="B950" s="175"/>
    </row>
    <row r="951">
      <c r="B951" s="175"/>
    </row>
    <row r="952">
      <c r="B952" s="175"/>
    </row>
    <row r="953">
      <c r="B953" s="175"/>
    </row>
    <row r="954">
      <c r="B954" s="175"/>
    </row>
    <row r="955">
      <c r="B955" s="175"/>
    </row>
    <row r="956">
      <c r="B956" s="175"/>
    </row>
    <row r="957">
      <c r="B957" s="175"/>
    </row>
    <row r="958">
      <c r="B958" s="175"/>
    </row>
    <row r="959">
      <c r="B959" s="175"/>
    </row>
    <row r="960">
      <c r="B960" s="175"/>
    </row>
    <row r="961">
      <c r="B961" s="175"/>
    </row>
    <row r="962">
      <c r="B962" s="175"/>
    </row>
    <row r="963">
      <c r="B963" s="175"/>
    </row>
    <row r="964">
      <c r="B964" s="175"/>
    </row>
    <row r="965">
      <c r="B965" s="175"/>
    </row>
    <row r="966">
      <c r="B966" s="175"/>
    </row>
    <row r="967">
      <c r="B967" s="175"/>
    </row>
    <row r="968">
      <c r="B968" s="175"/>
    </row>
    <row r="969">
      <c r="B969" s="175"/>
    </row>
    <row r="970">
      <c r="B970" s="175"/>
    </row>
    <row r="971">
      <c r="B971" s="175"/>
    </row>
    <row r="972">
      <c r="B972" s="175"/>
    </row>
    <row r="973">
      <c r="B973" s="175"/>
    </row>
    <row r="974">
      <c r="B974" s="175"/>
    </row>
    <row r="975">
      <c r="B975" s="175"/>
    </row>
    <row r="976">
      <c r="B976" s="175"/>
    </row>
    <row r="977">
      <c r="B977" s="175"/>
    </row>
    <row r="978">
      <c r="B978" s="175"/>
    </row>
    <row r="979">
      <c r="B979" s="175"/>
    </row>
    <row r="980">
      <c r="B980" s="175"/>
    </row>
    <row r="981">
      <c r="B981" s="175"/>
    </row>
    <row r="982">
      <c r="B982" s="175"/>
    </row>
    <row r="983">
      <c r="B983" s="175"/>
    </row>
    <row r="984">
      <c r="B984" s="175"/>
    </row>
    <row r="985">
      <c r="B985" s="175"/>
    </row>
    <row r="986">
      <c r="B986" s="175"/>
    </row>
    <row r="987">
      <c r="B987" s="175"/>
    </row>
    <row r="988">
      <c r="B988" s="175"/>
    </row>
    <row r="989">
      <c r="B989" s="175"/>
    </row>
    <row r="990">
      <c r="B990" s="175"/>
    </row>
    <row r="991">
      <c r="B991" s="175"/>
    </row>
    <row r="992">
      <c r="B992" s="175"/>
    </row>
    <row r="993">
      <c r="B993" s="175"/>
    </row>
    <row r="994">
      <c r="B994" s="175"/>
    </row>
    <row r="995">
      <c r="B995" s="175"/>
    </row>
    <row r="996">
      <c r="B996" s="175"/>
    </row>
    <row r="997">
      <c r="B997" s="175"/>
    </row>
    <row r="998">
      <c r="B998" s="175"/>
    </row>
    <row r="999">
      <c r="B999" s="175"/>
    </row>
    <row r="1000">
      <c r="B1000" s="175"/>
    </row>
    <row r="1001">
      <c r="B1001" s="175"/>
    </row>
    <row r="1002">
      <c r="B1002" s="175"/>
    </row>
    <row r="1003">
      <c r="B1003" s="175"/>
    </row>
    <row r="1004">
      <c r="B1004" s="175"/>
    </row>
    <row r="1005">
      <c r="B1005" s="175"/>
    </row>
    <row r="1006">
      <c r="B1006" s="175"/>
    </row>
    <row r="1007">
      <c r="B1007" s="175"/>
    </row>
    <row r="1008">
      <c r="B1008" s="175"/>
    </row>
    <row r="1009">
      <c r="B1009" s="175"/>
    </row>
    <row r="1010">
      <c r="B1010" s="175"/>
    </row>
  </sheetData>
  <mergeCells count="8">
    <mergeCell ref="B3:O5"/>
    <mergeCell ref="B7:O8"/>
    <mergeCell ref="B10:O12"/>
    <mergeCell ref="B14:O15"/>
    <mergeCell ref="B17:O18"/>
    <mergeCell ref="B20:O22"/>
    <mergeCell ref="B24:O25"/>
    <mergeCell ref="B27:O30"/>
  </mergeCells>
  <drawing r:id="rId1"/>
</worksheet>
</file>