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apons" sheetId="1" r:id="rId5"/>
    <sheet state="visible" name="Armor" sheetId="2" r:id="rId6"/>
    <sheet state="visible" name="Equipment" sheetId="3" r:id="rId7"/>
    <sheet state="visible" name="Vehicles" sheetId="4" r:id="rId8"/>
    <sheet state="visible" name="Contacts" sheetId="5" r:id="rId9"/>
    <sheet state="visible" name="Character Sheet" sheetId="6" r:id="rId10"/>
    <sheet state="visible" name="Character Sheet pg1" sheetId="7" r:id="rId11"/>
    <sheet state="visible" name="Character Sheet pg2" sheetId="8" r:id="rId12"/>
    <sheet state="visible" name="Useful Tables" sheetId="9" r:id="rId13"/>
    <sheet state="visible" name="Actions" sheetId="10" r:id="rId14"/>
    <sheet state="visible" name="Barriers" sheetId="11" r:id="rId15"/>
    <sheet state="visible" name="layout testing" sheetId="12" r:id="rId16"/>
  </sheets>
  <definedNames/>
  <calcPr/>
</workbook>
</file>

<file path=xl/sharedStrings.xml><?xml version="1.0" encoding="utf-8"?>
<sst xmlns="http://schemas.openxmlformats.org/spreadsheetml/2006/main" count="1223" uniqueCount="569">
  <si>
    <t>Common Quality Weapons</t>
  </si>
  <si>
    <t>EP=encumbrance points</t>
  </si>
  <si>
    <t>1 gp equals $100 USD basically</t>
  </si>
  <si>
    <t>Concealability</t>
  </si>
  <si>
    <t>Reach</t>
  </si>
  <si>
    <t>Damage</t>
  </si>
  <si>
    <t>Weight(EP)</t>
  </si>
  <si>
    <t>Cost</t>
  </si>
  <si>
    <t>Edged Weapons</t>
  </si>
  <si>
    <t>Edged, Throwing</t>
  </si>
  <si>
    <t>(Str)L</t>
  </si>
  <si>
    <t>Edged, Light</t>
  </si>
  <si>
    <t>Edged, Single-handed</t>
  </si>
  <si>
    <t>(Str)M</t>
  </si>
  <si>
    <t>Edged, Great</t>
  </si>
  <si>
    <t>(Str)S</t>
  </si>
  <si>
    <t>Polearm</t>
  </si>
  <si>
    <t>Clubs</t>
  </si>
  <si>
    <t>Blunt, Throwing</t>
  </si>
  <si>
    <t>(Str)L Stun</t>
  </si>
  <si>
    <t>-</t>
  </si>
  <si>
    <t>Blunt, Light</t>
  </si>
  <si>
    <t>Blunt, Single-handed</t>
  </si>
  <si>
    <t>(Str)M Stun</t>
  </si>
  <si>
    <t>Blunt, Great</t>
  </si>
  <si>
    <t>(Str)S Stun</t>
  </si>
  <si>
    <t>Staff</t>
  </si>
  <si>
    <t>Other</t>
  </si>
  <si>
    <t>Whip</t>
  </si>
  <si>
    <t>Dex(L) (double slashing armor)</t>
  </si>
  <si>
    <t>Flail</t>
  </si>
  <si>
    <t>Unarmed</t>
  </si>
  <si>
    <t>(Str-1)M Stun</t>
  </si>
  <si>
    <t>Projectile Weapons</t>
  </si>
  <si>
    <t>Bows</t>
  </si>
  <si>
    <t>(Str Min)M</t>
  </si>
  <si>
    <t>1.0*Str min</t>
  </si>
  <si>
    <t>simple</t>
  </si>
  <si>
    <t>20 Arrows</t>
  </si>
  <si>
    <t>Crossbow, Hand (one-handed)</t>
  </si>
  <si>
    <t>6L</t>
  </si>
  <si>
    <t>Crossbow, Medium (two-handed)</t>
  </si>
  <si>
    <t>6M</t>
  </si>
  <si>
    <t>complex</t>
  </si>
  <si>
    <t>Crossbow, Heavy (two-handed)</t>
  </si>
  <si>
    <t>N/A</t>
  </si>
  <si>
    <t>6S</t>
  </si>
  <si>
    <t>2 complex</t>
  </si>
  <si>
    <t>10 Bolts</t>
  </si>
  <si>
    <t>Mounted Weapons</t>
  </si>
  <si>
    <t>14D</t>
  </si>
  <si>
    <t>Siege Weapons</t>
  </si>
  <si>
    <t>Common Quality Armor</t>
  </si>
  <si>
    <t>Location</t>
  </si>
  <si>
    <t>Piercing</t>
  </si>
  <si>
    <t>Slashing</t>
  </si>
  <si>
    <t>Impact</t>
  </si>
  <si>
    <t>Notes</t>
  </si>
  <si>
    <t>Light</t>
  </si>
  <si>
    <t>Leather Jacket</t>
  </si>
  <si>
    <t>Torso</t>
  </si>
  <si>
    <t>Leather Breaches</t>
  </si>
  <si>
    <t>Legs</t>
  </si>
  <si>
    <t>Studded Leather Jacket</t>
  </si>
  <si>
    <t>Studded Leather Breaches</t>
  </si>
  <si>
    <t>Medium</t>
  </si>
  <si>
    <t>Chainshirt</t>
  </si>
  <si>
    <t>Chainmail</t>
  </si>
  <si>
    <t>Head,Torso&amp;Legs</t>
  </si>
  <si>
    <t>comes with Chain Coif helmet</t>
  </si>
  <si>
    <t>Breastplate</t>
  </si>
  <si>
    <t>Heavy</t>
  </si>
  <si>
    <t>Banded Mail</t>
  </si>
  <si>
    <t>Torso&amp;Legs</t>
  </si>
  <si>
    <t>comes with Metal helmet below</t>
  </si>
  <si>
    <t>Plate Mail</t>
  </si>
  <si>
    <t>Shields</t>
  </si>
  <si>
    <t>Buckler, metal</t>
  </si>
  <si>
    <t>Shield, small wooden</t>
  </si>
  <si>
    <t>Shield, small metal</t>
  </si>
  <si>
    <t>Shield, large wooden</t>
  </si>
  <si>
    <t>Shield, large metal</t>
  </si>
  <si>
    <t>Helmets</t>
  </si>
  <si>
    <t>Leather</t>
  </si>
  <si>
    <t>Head</t>
  </si>
  <si>
    <t>Chain Coif</t>
  </si>
  <si>
    <t>Metal</t>
  </si>
  <si>
    <t>Common Quality Equipment</t>
  </si>
  <si>
    <t>Adventure Gear</t>
  </si>
  <si>
    <t>Rope (50 ft)</t>
  </si>
  <si>
    <t>Block &amp; Tackle</t>
  </si>
  <si>
    <t>Grappling Hook</t>
  </si>
  <si>
    <t>Pitons (bag of 10)</t>
  </si>
  <si>
    <t>Hammer, small</t>
  </si>
  <si>
    <t>Crowbar</t>
  </si>
  <si>
    <t>Iron Chain</t>
  </si>
  <si>
    <t>Survival Kit</t>
  </si>
  <si>
    <t>small knife, small hatchet, backpack, two waterskins, winter blanket, tinder, week of rations, belt pouch</t>
  </si>
  <si>
    <t>Torch</t>
  </si>
  <si>
    <t>Lantern</t>
  </si>
  <si>
    <t>Lamp Oil (flask)</t>
  </si>
  <si>
    <t>Candle</t>
  </si>
  <si>
    <t>Flint and Tinder Box</t>
  </si>
  <si>
    <t>Rations (day)</t>
  </si>
  <si>
    <t>Pipe, common</t>
  </si>
  <si>
    <t>Pipe, fine</t>
  </si>
  <si>
    <t>Pipeweed, common</t>
  </si>
  <si>
    <t>Pipeweed, quality</t>
  </si>
  <si>
    <t>Cooking Pot</t>
  </si>
  <si>
    <t>can hold up to 5 EP--half total EP carried within</t>
  </si>
  <si>
    <t>Barrel, watertight</t>
  </si>
  <si>
    <t>can hold up to 15 EP</t>
  </si>
  <si>
    <t>Barrel, common</t>
  </si>
  <si>
    <t>Waterskin</t>
  </si>
  <si>
    <t>holds two days of water</t>
  </si>
  <si>
    <t>Backpack</t>
  </si>
  <si>
    <t>Belt Pouch</t>
  </si>
  <si>
    <t>can hold up to 2 EP--half total EP carried within</t>
  </si>
  <si>
    <t>Winter Blanket</t>
  </si>
  <si>
    <t>Sack, Large</t>
  </si>
  <si>
    <t>holds up to 5 EP--half total EP carried within</t>
  </si>
  <si>
    <t>Sack, Small</t>
  </si>
  <si>
    <t>holds up to 3 EP--half total EP carried within</t>
  </si>
  <si>
    <t>Tent, small</t>
  </si>
  <si>
    <t>2-person</t>
  </si>
  <si>
    <t>Tent, large</t>
  </si>
  <si>
    <t>6-person</t>
  </si>
  <si>
    <t>Saddlebag</t>
  </si>
  <si>
    <t>can hold up to 10 EP--half total EP carried within</t>
  </si>
  <si>
    <t>Saddle, common</t>
  </si>
  <si>
    <t>Saddle, fine</t>
  </si>
  <si>
    <t>varies</t>
  </si>
  <si>
    <t>Healing Satchel</t>
  </si>
  <si>
    <t>acts as Kit tools</t>
  </si>
  <si>
    <t>Torturer's Kit</t>
  </si>
  <si>
    <t>Lockpicking Kit</t>
  </si>
  <si>
    <t>Disguise Kit</t>
  </si>
  <si>
    <t>Weapon Care Kit</t>
  </si>
  <si>
    <t>Armor Care Kit</t>
  </si>
  <si>
    <t>Horse Groomer's Kit</t>
  </si>
  <si>
    <t>Generic Build/Repair Kit</t>
  </si>
  <si>
    <t>Playing Cards, common</t>
  </si>
  <si>
    <t>Playing Cards, quality</t>
  </si>
  <si>
    <t>Playing Cards, marked</t>
  </si>
  <si>
    <t>Dice, common</t>
  </si>
  <si>
    <t>Dice, weighted</t>
  </si>
  <si>
    <t>Mirror, Hand</t>
  </si>
  <si>
    <t>Hourglass</t>
  </si>
  <si>
    <t>Pole, 10ft</t>
  </si>
  <si>
    <t>Flask, Tin</t>
  </si>
  <si>
    <t>Flask, Silver</t>
  </si>
  <si>
    <t>Flask, Crystal</t>
  </si>
  <si>
    <t>Signet Ring</t>
  </si>
  <si>
    <t>Clothing,Peasant</t>
  </si>
  <si>
    <t>Clothing, Freeman</t>
  </si>
  <si>
    <t>Clothing, Rich</t>
  </si>
  <si>
    <t>Clothing, Noble</t>
  </si>
  <si>
    <t>Shoes, Common</t>
  </si>
  <si>
    <t>Boots, Common</t>
  </si>
  <si>
    <t>Boots, Fine</t>
  </si>
  <si>
    <t>Gloves, cloth</t>
  </si>
  <si>
    <t>Gloves, leather</t>
  </si>
  <si>
    <t>Gloves, winter</t>
  </si>
  <si>
    <t>Cloak, Common</t>
  </si>
  <si>
    <t>Cloak, Fine</t>
  </si>
  <si>
    <t>Cloak, Winter</t>
  </si>
  <si>
    <t>Hat, cloth</t>
  </si>
  <si>
    <t>Hat, travel</t>
  </si>
  <si>
    <t>Writing Kit</t>
  </si>
  <si>
    <t>Book, Prayer</t>
  </si>
  <si>
    <t>Book, Arcane Study</t>
  </si>
  <si>
    <t>Journal, Travel</t>
  </si>
  <si>
    <t>Holy Symbol, Simple</t>
  </si>
  <si>
    <t>Holy Symbol, Refined</t>
  </si>
  <si>
    <t>Holy Symbol, Exquisite</t>
  </si>
  <si>
    <t>Musical Intrument, Simple</t>
  </si>
  <si>
    <t>Musical Intrument, Fine</t>
  </si>
  <si>
    <t>Canary in a cage</t>
  </si>
  <si>
    <t>Dog, medium</t>
  </si>
  <si>
    <t>Dog, large</t>
  </si>
  <si>
    <t>Dog, trained</t>
  </si>
  <si>
    <t>Donkey/Mule</t>
  </si>
  <si>
    <t>Feed</t>
  </si>
  <si>
    <t>Hireling, commoner (day)</t>
  </si>
  <si>
    <t>Handcart</t>
  </si>
  <si>
    <t>Fetish, Combat</t>
  </si>
  <si>
    <t>Fetish, Detection</t>
  </si>
  <si>
    <t>Fetish, Healing</t>
  </si>
  <si>
    <t>Fetish, Illusion</t>
  </si>
  <si>
    <t>Fetish, Manipulation</t>
  </si>
  <si>
    <t>Elemental Conjuring Materials</t>
  </si>
  <si>
    <t>Force*5</t>
  </si>
  <si>
    <t>Shamanic Lodge Materials</t>
  </si>
  <si>
    <t>Rating*2.5</t>
  </si>
  <si>
    <t>Hermetic Library (per skill)</t>
  </si>
  <si>
    <t>Rating*Rating*5</t>
  </si>
  <si>
    <t>Expendable Spell Focus</t>
  </si>
  <si>
    <t>Force*7.5</t>
  </si>
  <si>
    <t>Specific Spell Focus</t>
  </si>
  <si>
    <t>Force*225</t>
  </si>
  <si>
    <t>Spell Category Focus</t>
  </si>
  <si>
    <t>Force*390</t>
  </si>
  <si>
    <t>Spirit Focus</t>
  </si>
  <si>
    <t>Force*300</t>
  </si>
  <si>
    <t>Power Focus</t>
  </si>
  <si>
    <t>Force*525</t>
  </si>
  <si>
    <t>Sustaining Focus</t>
  </si>
  <si>
    <t>Force*75</t>
  </si>
  <si>
    <t>Weapon Focus</t>
  </si>
  <si>
    <t>(Reach+1)*500+(Force*450)</t>
  </si>
  <si>
    <t>Spell Formula</t>
  </si>
  <si>
    <t>L Drain</t>
  </si>
  <si>
    <t>Force*.25</t>
  </si>
  <si>
    <t>M Drain</t>
  </si>
  <si>
    <t>Force*.5</t>
  </si>
  <si>
    <t>S Drain</t>
  </si>
  <si>
    <t>Force*2.5</t>
  </si>
  <si>
    <t>D Drain</t>
  </si>
  <si>
    <t>Vehicles</t>
  </si>
  <si>
    <t>Common Quality Horses</t>
  </si>
  <si>
    <t>Quarter Horse</t>
  </si>
  <si>
    <t>B</t>
  </si>
  <si>
    <t>Handling</t>
  </si>
  <si>
    <t>Q</t>
  </si>
  <si>
    <t>4(x4)</t>
  </si>
  <si>
    <t>Speed</t>
  </si>
  <si>
    <t>S</t>
  </si>
  <si>
    <t>Acceleration</t>
  </si>
  <si>
    <t>C</t>
  </si>
  <si>
    <t>Body</t>
  </si>
  <si>
    <t>I</t>
  </si>
  <si>
    <t>Armor</t>
  </si>
  <si>
    <t>W</t>
  </si>
  <si>
    <t>Cargo Factor</t>
  </si>
  <si>
    <t>E</t>
  </si>
  <si>
    <t>Load</t>
  </si>
  <si>
    <t>R</t>
  </si>
  <si>
    <t>Seating</t>
  </si>
  <si>
    <t>INTV</t>
  </si>
  <si>
    <t>3+1d6</t>
  </si>
  <si>
    <t>Entry Points</t>
  </si>
  <si>
    <t>ATTACK</t>
  </si>
  <si>
    <t>6S, +1 reach</t>
  </si>
  <si>
    <t>SIZE</t>
  </si>
  <si>
    <t>Description</t>
  </si>
  <si>
    <t>agile, docile, athletic, good on trails</t>
  </si>
  <si>
    <t>Prancer</t>
  </si>
  <si>
    <t>5(x5)</t>
  </si>
  <si>
    <t>4+1d6</t>
  </si>
  <si>
    <t>6M, +1 reach</t>
  </si>
  <si>
    <t>spirited, loving and loyal, powerful runners and sprinters</t>
  </si>
  <si>
    <t>Thoroughbred</t>
  </si>
  <si>
    <t>5(x4)</t>
  </si>
  <si>
    <t>hot-blooded, agile, speedy, spirited, good at jumping and carrying a rider</t>
  </si>
  <si>
    <t>Spotted</t>
  </si>
  <si>
    <t>hardy, versatile, great for herding, riding, and long-distance trail riding</t>
  </si>
  <si>
    <t>Grade/Mutt</t>
  </si>
  <si>
    <t>Various</t>
  </si>
  <si>
    <t>versatile, average</t>
  </si>
  <si>
    <t>Draft</t>
  </si>
  <si>
    <t>3(x4)</t>
  </si>
  <si>
    <t>2+1d6</t>
  </si>
  <si>
    <t>8S, +1 reach</t>
  </si>
  <si>
    <t>powerful, docile, thick coats, good in colder climates, strong enough to carry heavily armored soldiers</t>
  </si>
  <si>
    <t>Common Quality Wagons</t>
  </si>
  <si>
    <t>Stakebed (Cargo)</t>
  </si>
  <si>
    <t>Covered</t>
  </si>
  <si>
    <t>Carriage</t>
  </si>
  <si>
    <t>These can only be purchased at Character Creation.</t>
  </si>
  <si>
    <t>After Character Creation, all other Contacts come through gameplay.</t>
  </si>
  <si>
    <t>2 free Level 1 Contacts at Character Creation</t>
  </si>
  <si>
    <t>Additional Contacts</t>
  </si>
  <si>
    <t>Contact (Level 1)</t>
  </si>
  <si>
    <t>acquaintance, a possible source of information, no true loyalty but is more available than someone you just met</t>
  </si>
  <si>
    <t>nil</t>
  </si>
  <si>
    <t>Buddy (Level 2)</t>
  </si>
  <si>
    <t>developed a level of trust, but won't stick their neck out too far, will always be willing to provide information if they have it, and may even "keep an ear to the ground" for you</t>
  </si>
  <si>
    <t>+1 etiquette die when acquiring info</t>
  </si>
  <si>
    <t>Friend (Level 3)</t>
  </si>
  <si>
    <t>may have grown up together, know well, doesn't need to be a friend but much respect between them and player, will stick their neck out for player, loyal</t>
  </si>
  <si>
    <t>+2 etiquette die when acquiring info</t>
  </si>
  <si>
    <t>Name</t>
  </si>
  <si>
    <t>Condition Monitors</t>
  </si>
  <si>
    <t>Moderate</t>
  </si>
  <si>
    <t>Serious</t>
  </si>
  <si>
    <t>Deadly</t>
  </si>
  <si>
    <t>Mental</t>
  </si>
  <si>
    <t>+1 TN</t>
  </si>
  <si>
    <t>+2 TN</t>
  </si>
  <si>
    <t>+3 TN</t>
  </si>
  <si>
    <t>-1 Init</t>
  </si>
  <si>
    <t>-2 Init</t>
  </si>
  <si>
    <t>-3 Init</t>
  </si>
  <si>
    <t>Race/Station</t>
  </si>
  <si>
    <t>Age</t>
  </si>
  <si>
    <t>Sex</t>
  </si>
  <si>
    <t>Stun</t>
  </si>
  <si>
    <t>Uncon</t>
  </si>
  <si>
    <t>Physical</t>
  </si>
  <si>
    <t>Physical Damage Overflow</t>
  </si>
  <si>
    <t>Attributes</t>
  </si>
  <si>
    <t>Karma</t>
  </si>
  <si>
    <t>Dice Pools</t>
  </si>
  <si>
    <t>Base</t>
  </si>
  <si>
    <t>Mutations</t>
  </si>
  <si>
    <t>Magic</t>
  </si>
  <si>
    <t>Misc</t>
  </si>
  <si>
    <t>Total</t>
  </si>
  <si>
    <t>Reaction</t>
  </si>
  <si>
    <t>Karma Pool</t>
  </si>
  <si>
    <t>BODY</t>
  </si>
  <si>
    <t>Rating</t>
  </si>
  <si>
    <t>DEXTERITY</t>
  </si>
  <si>
    <t>Combat</t>
  </si>
  <si>
    <t>STRENGTH</t>
  </si>
  <si>
    <t>CHARISMA</t>
  </si>
  <si>
    <t>Good Karma</t>
  </si>
  <si>
    <t>INTELLIGENCE</t>
  </si>
  <si>
    <t>Initiative</t>
  </si>
  <si>
    <t>WILLPOWER</t>
  </si>
  <si>
    <t>HUMANITY</t>
  </si>
  <si>
    <t>(MAGIC)</t>
  </si>
  <si>
    <t>Total Karma</t>
  </si>
  <si>
    <t>Skills</t>
  </si>
  <si>
    <t>Foci/</t>
  </si>
  <si>
    <t>Fetish</t>
  </si>
  <si>
    <t>#D6</t>
  </si>
  <si>
    <t>Mod</t>
  </si>
  <si>
    <t>Linked</t>
  </si>
  <si>
    <t>General</t>
  </si>
  <si>
    <t>Spec</t>
  </si>
  <si>
    <t>Attribute</t>
  </si>
  <si>
    <t>REACTION (INT+DEX)/2</t>
  </si>
  <si>
    <t>Good</t>
  </si>
  <si>
    <t>Used</t>
  </si>
  <si>
    <t>Pool</t>
  </si>
  <si>
    <t>Formula</t>
  </si>
  <si>
    <t>(round down)</t>
  </si>
  <si>
    <t>(CHA+INT+WIL)/2</t>
  </si>
  <si>
    <t>Spell</t>
  </si>
  <si>
    <t>(DEX+INT+WIL)/2</t>
  </si>
  <si>
    <t>Control</t>
  </si>
  <si>
    <t>REACTION</t>
  </si>
  <si>
    <t>Astral</t>
  </si>
  <si>
    <t>(INT+WIL+MAG)/3</t>
  </si>
  <si>
    <t>Spells</t>
  </si>
  <si>
    <t>Force</t>
  </si>
  <si>
    <t>Drain</t>
  </si>
  <si>
    <t>Ttl EP</t>
  </si>
  <si>
    <t>Weapons</t>
  </si>
  <si>
    <t>Range</t>
  </si>
  <si>
    <t>Type</t>
  </si>
  <si>
    <t>(Modifiers)</t>
  </si>
  <si>
    <t>Power</t>
  </si>
  <si>
    <t>Conceal</t>
  </si>
  <si>
    <t>EP</t>
  </si>
  <si>
    <t>Short</t>
  </si>
  <si>
    <t>Long</t>
  </si>
  <si>
    <t>Extreme</t>
  </si>
  <si>
    <t>Equipment &amp; Gear</t>
  </si>
  <si>
    <t>Contacts</t>
  </si>
  <si>
    <t>Info</t>
  </si>
  <si>
    <t>Weapon Range Table</t>
  </si>
  <si>
    <t>Ranged Combat Modifiers Table</t>
  </si>
  <si>
    <t>Normal Terrain</t>
  </si>
  <si>
    <t>Difficult Terrain</t>
  </si>
  <si>
    <t>Weapon
 (range in yards)</t>
  </si>
  <si>
    <t>4
 Short Range</t>
  </si>
  <si>
    <t>5
 Medium Range</t>
  </si>
  <si>
    <t>6
 Long Range</t>
  </si>
  <si>
    <t>9
 Extreme Range</t>
  </si>
  <si>
    <t>Situation</t>
  </si>
  <si>
    <t>Modifier</t>
  </si>
  <si>
    <t>Bow</t>
  </si>
  <si>
    <t>0-STR</t>
  </si>
  <si>
    <t>To STRx10</t>
  </si>
  <si>
    <t>To STRx30</t>
  </si>
  <si>
    <t>To STRx60</t>
  </si>
  <si>
    <t>Blind Fire</t>
  </si>
  <si>
    <t>+8</t>
  </si>
  <si>
    <t>Walk</t>
  </si>
  <si>
    <t>+2</t>
  </si>
  <si>
    <t>+3</t>
  </si>
  <si>
    <t>Light Crossbow</t>
  </si>
  <si>
    <t>0-STRx2</t>
  </si>
  <si>
    <t>To STRx8</t>
  </si>
  <si>
    <t>To STRx20</t>
  </si>
  <si>
    <t>To STRx40</t>
  </si>
  <si>
    <t>Partial Cover</t>
  </si>
  <si>
    <t>+4</t>
  </si>
  <si>
    <t>Run</t>
  </si>
  <si>
    <t>+10</t>
  </si>
  <si>
    <t>Medium Crossbow</t>
  </si>
  <si>
    <t>0-STRx3</t>
  </si>
  <si>
    <t>To STRx12</t>
  </si>
  <si>
    <t>To STRx50</t>
  </si>
  <si>
    <t>Visibility Impaired</t>
  </si>
  <si>
    <t>See Visibility Table</t>
  </si>
  <si>
    <t>Heavy Crossbow</t>
  </si>
  <si>
    <t>0-STRx5</t>
  </si>
  <si>
    <t>To STRx15</t>
  </si>
  <si>
    <t>Target Running</t>
  </si>
  <si>
    <t>Thrown Knife</t>
  </si>
  <si>
    <t>To STRx2</t>
  </si>
  <si>
    <t>To STRx3</t>
  </si>
  <si>
    <t>To STRx5</t>
  </si>
  <si>
    <t>Target Stationary</t>
  </si>
  <si>
    <t>-1</t>
  </si>
  <si>
    <t>Shuriken</t>
  </si>
  <si>
    <t>To STRx7</t>
  </si>
  <si>
    <t>Attacker in Melee Combat</t>
  </si>
  <si>
    <t>+2 per Opponent</t>
  </si>
  <si>
    <t>Attacker Running</t>
  </si>
  <si>
    <t>Attacker Running (difficult ground)</t>
  </si>
  <si>
    <t>+6</t>
  </si>
  <si>
    <t>Attacker Walking</t>
  </si>
  <si>
    <t>+1</t>
  </si>
  <si>
    <t>Projectile Weapons Table</t>
  </si>
  <si>
    <t>Attacker Walking (difficult ground)</t>
  </si>
  <si>
    <t>Strength Minimum</t>
  </si>
  <si>
    <t>Damage Code</t>
  </si>
  <si>
    <t>Attacker Wounded</t>
  </si>
  <si>
    <t>See Damage Modifiers Table</t>
  </si>
  <si>
    <t>Standard Bow*</t>
  </si>
  <si>
    <t>1+</t>
  </si>
  <si>
    <t>(STR Min+2)M</t>
  </si>
  <si>
    <t>Aimed Shot</t>
  </si>
  <si>
    <t>-1 per Simple Action</t>
  </si>
  <si>
    <t>Light Crossbow^</t>
  </si>
  <si>
    <t>Called Shot</t>
  </si>
  <si>
    <t>Medium Crossbow^</t>
  </si>
  <si>
    <t>Heavy Crossbow^</t>
  </si>
  <si>
    <t>Melee Modifiers Table</t>
  </si>
  <si>
    <t>Throwing Knife</t>
  </si>
  <si>
    <t>NA</t>
  </si>
  <si>
    <t>(STR)L</t>
  </si>
  <si>
    <t>* +1 TN per point lower than Strength Minimum</t>
  </si>
  <si>
    <t>Character has more friends in the melee</t>
  </si>
  <si>
    <t>^+1 additional ready action to load per point lower than Strength Minimum</t>
  </si>
  <si>
    <t>Opponent has more friends in the melee</t>
  </si>
  <si>
    <t>Visibility Table</t>
  </si>
  <si>
    <t>Character wounded</t>
  </si>
  <si>
    <t>Condition</t>
  </si>
  <si>
    <t>Normal Vision</t>
  </si>
  <si>
    <t>Low-light Vision</t>
  </si>
  <si>
    <t>Character's weapon has longer reach*</t>
  </si>
  <si>
    <t>-1/point longer</t>
  </si>
  <si>
    <t>Full Darkness</t>
  </si>
  <si>
    <t>Character's weapon has inferior reach*</t>
  </si>
  <si>
    <t>+1/point shorter</t>
  </si>
  <si>
    <t>Minimal Light*</t>
  </si>
  <si>
    <t>Character attacking multiple targets**^</t>
  </si>
  <si>
    <t>+2/target</t>
  </si>
  <si>
    <t>Partial Light*</t>
  </si>
  <si>
    <t>Character has superior position</t>
  </si>
  <si>
    <t>Glare*</t>
  </si>
  <si>
    <t>Opponent prone</t>
  </si>
  <si>
    <t>-2</t>
  </si>
  <si>
    <t>Mist*</t>
  </si>
  <si>
    <t>*Only one of these modifiers may be applied, either to the attacker or defender</t>
  </si>
  <si>
    <t>Light Smoke/Fog/Rain*</t>
  </si>
  <si>
    <t>**Combat Pool must be applied separately per opponent</t>
  </si>
  <si>
    <t>Heavy Smoke/Fog/Rain*</t>
  </si>
  <si>
    <t>^Penalty is applied to each consecutive opponent at an increasing +2 TN to each opponent after the first</t>
  </si>
  <si>
    <t>*1/2 modifier for melee</t>
  </si>
  <si>
    <t>Driving Test Modifiers Table</t>
  </si>
  <si>
    <t>Vehicle Damage Modifiers Table</t>
  </si>
  <si>
    <t>Vehicle Damage Level</t>
  </si>
  <si>
    <t>Target Number Modifier</t>
  </si>
  <si>
    <t>Initiative Penalty</t>
  </si>
  <si>
    <t>Speed Rating Reduction</t>
  </si>
  <si>
    <t>Non-Stressful Situation</t>
  </si>
  <si>
    <t>No reduction</t>
  </si>
  <si>
    <t>Stressful Situation</t>
  </si>
  <si>
    <t>GM discretion</t>
  </si>
  <si>
    <t>Weather Condition</t>
  </si>
  <si>
    <t>-3</t>
  </si>
  <si>
    <t>Bad</t>
  </si>
  <si>
    <t>Terrible</t>
  </si>
  <si>
    <t>Impact Damage Levels Table</t>
  </si>
  <si>
    <t>Terrain</t>
  </si>
  <si>
    <t>Vehicle Speed (yards/turn)</t>
  </si>
  <si>
    <t>Damage Level</t>
  </si>
  <si>
    <t>Open</t>
  </si>
  <si>
    <t>Light (L)</t>
  </si>
  <si>
    <t>Normal</t>
  </si>
  <si>
    <t>Moderate (M)</t>
  </si>
  <si>
    <t>Restricted</t>
  </si>
  <si>
    <t>31-40</t>
  </si>
  <si>
    <t>Serious (S)</t>
  </si>
  <si>
    <t>Tight</t>
  </si>
  <si>
    <t>41+</t>
  </si>
  <si>
    <t>Destroyed (D)</t>
  </si>
  <si>
    <t>Vehicle Exceeds Speed Rating</t>
  </si>
  <si>
    <t>+1 per increment</t>
  </si>
  <si>
    <t>Crash Test Modifiers Table</t>
  </si>
  <si>
    <t>Driver Wounded</t>
  </si>
  <si>
    <t>+ Damage Modifier</t>
  </si>
  <si>
    <t>Vehicle Damaged</t>
  </si>
  <si>
    <t>Vehicle Speed</t>
  </si>
  <si>
    <t>Actions</t>
  </si>
  <si>
    <t>Free Actions</t>
  </si>
  <si>
    <t>Simple Actions</t>
  </si>
  <si>
    <t>Complex Actions</t>
  </si>
  <si>
    <t>Activate Mutation</t>
  </si>
  <si>
    <t>Activate Focus</t>
  </si>
  <si>
    <t>Astral Projection</t>
  </si>
  <si>
    <t>Call a Shot</t>
  </si>
  <si>
    <t>Call Nature Spirit</t>
  </si>
  <si>
    <t>Banish Spirit</t>
  </si>
  <si>
    <t>Deactivate Focus</t>
  </si>
  <si>
    <t>Change Position</t>
  </si>
  <si>
    <t>Call Elemental</t>
  </si>
  <si>
    <t>Delay Action</t>
  </si>
  <si>
    <t>Command a Spirit</t>
  </si>
  <si>
    <t>Cast Spell</t>
  </si>
  <si>
    <t>Drop Object</t>
  </si>
  <si>
    <t>Shoot Weapon</t>
  </si>
  <si>
    <t>Control Spirit</t>
  </si>
  <si>
    <t>Drop Prone</t>
  </si>
  <si>
    <t>Observe in Detail</t>
  </si>
  <si>
    <t>Erase Astral Signature</t>
  </si>
  <si>
    <t>Drop Sustained Spell</t>
  </si>
  <si>
    <t>Pick up/Put down Object</t>
  </si>
  <si>
    <t>Fire Automatic Weapon???</t>
  </si>
  <si>
    <t>Gesture</t>
  </si>
  <si>
    <t>Quick Draw</t>
  </si>
  <si>
    <t>Fire Mounted or Vehicle Weapon</t>
  </si>
  <si>
    <t>Observe</t>
  </si>
  <si>
    <t>Ready Weapon</t>
  </si>
  <si>
    <t>Melee/unarmed Atack</t>
  </si>
  <si>
    <t>Speak a Word</t>
  </si>
  <si>
    <t>Shift Perception (Astral)</t>
  </si>
  <si>
    <t>Reload Firearm???</t>
  </si>
  <si>
    <t>Spell Defense</t>
  </si>
  <si>
    <t>Take Aim</t>
  </si>
  <si>
    <t>Summon Nature Spirit</t>
  </si>
  <si>
    <t>Throw Weapon</t>
  </si>
  <si>
    <t>Use Complex Object</t>
  </si>
  <si>
    <t>Use Simple Object</t>
  </si>
  <si>
    <t>Use Skill (usually)</t>
  </si>
  <si>
    <t>Driver Actions</t>
  </si>
  <si>
    <t>Firing Through a Barrier</t>
  </si>
  <si>
    <t>Barrier Effect Table</t>
  </si>
  <si>
    <t>Power of Attack</t>
  </si>
  <si>
    <t>Effect</t>
  </si>
  <si>
    <t>A character firing a ranged weapon at a target on the other side of a barrier suffers the +8 Blind Fire target-number modifier because he cannot see the intended target. If the intervening barrier is transparent, the modifier does not apply. Either way, the firing character makes the standard Success Test, except that the Power of the attack is reduced by the target’s appropriate Armor Rating (if the target is wearing armor) and the adjusted Barrier Rating of the barrier. For example, a character wearing 3 points of armor and standing on the far side of a Rating 4 barrier would subtract a total of 7 from the Power of the attack.</t>
  </si>
  <si>
    <t>Less than 1/2 of adjusted Barrier Rating</t>
  </si>
  <si>
    <t>No effect, barrier holds, minor cosmetic damage</t>
  </si>
  <si>
    <t>Equal to or greater than 1/2 adjusted Barrier Rating</t>
  </si>
  <si>
    <t>Barrier damaged, -1 to Barrier Rating</t>
  </si>
  <si>
    <t>Greater than adjusted Barrier Rating</t>
  </si>
  <si>
    <t>1/2 yard hole opens in Barrier per 1/2 increment Power exceeds Barrier Rating, -1 to Barrier Rating</t>
  </si>
  <si>
    <t>Barrier Rating Table</t>
  </si>
  <si>
    <t>Material</t>
  </si>
  <si>
    <t>Glass</t>
  </si>
  <si>
    <t>If the Barrier Rating exceeds the Power of the attack, the barrier stops the attack cold. However, the attack may still damage the barrier by reducing its rating.</t>
  </si>
  <si>
    <t>Thin Wood</t>
  </si>
  <si>
    <t>Wood</t>
  </si>
  <si>
    <t>Iron</t>
  </si>
  <si>
    <t>Against melee attacks with blunt weapons such as fists, clubs or similar items, a barrier maintains its normal rating. Against melee attacks with edged weapons, such as swords and the like, the barrier has twice its normal rating.</t>
  </si>
  <si>
    <t>Blast against Barriers</t>
  </si>
  <si>
    <t>When a grenade-like weapon's blast hits a barrier such as a wall, door or other similar structure, compare the remaining Power of the blast (reduced by distance at -1 per yard) against twice the Barrier Rating of the object (see the Barrier Rating Table below). To find the blast’s effect on the barrier, consult the Barrier Effect Table.</t>
  </si>
  <si>
    <t>Breaking Through Barriers</t>
  </si>
  <si>
    <t>Attacks to break through a barrier (most commonly doors) are resolved in a similar manner to the rules for Blast against Barriers (see below), except that the barrier has twice its normal Barrier Rating against projectile weapon attacks. This increase accounts for the fact that even though an arrow or bolt is powerful, it punches only a tiny hole.</t>
  </si>
  <si>
    <t>Against melee attacks, a barrier has twice its normal Barrier Rating. Against combat spells, barriers have twice their normal rating. Against elemental manipulation spells, use the normal Barrier Rating.</t>
  </si>
  <si>
    <t>A regular door will break open when its Barrier Rating is reduced to one-half. A security door’s rating must be reduced to 0 before it will break open.</t>
  </si>
  <si>
    <t>can adapt to any width</t>
  </si>
  <si>
    <t>(INT+CHA+WIL)/2</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</si>
</sst>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quot;$&quot;#,##0.00"/>
    <numFmt numFmtId="166" formatCode="m/d"/>
    <numFmt numFmtId="167" formatCode="_(* #,##0.00_);_(* \(#,##0.00\);_(* &quot;-&quot;??_);_(@_)"/>
    <numFmt numFmtId="168" formatCode="m-d"/>
  </numFmts>
  <fonts count="15">
    <font>
      <sz val="11.0"/>
      <color theme="1"/>
      <name val="Calibri"/>
      <scheme val="minor"/>
    </font>
    <font>
      <b/>
      <sz val="11.0"/>
      <color theme="1"/>
      <name val="Calibri"/>
    </font>
    <font>
      <color theme="1"/>
      <name val="Calibri"/>
      <scheme val="minor"/>
    </font>
    <font>
      <sz val="11.0"/>
      <color theme="1"/>
      <name val="Calibri"/>
    </font>
    <font>
      <b/>
      <color theme="1"/>
      <name val="Calibri"/>
      <scheme val="minor"/>
    </font>
    <font>
      <sz val="14.0"/>
      <color theme="1"/>
      <name val="Calibri"/>
    </font>
    <font/>
    <font>
      <b/>
      <sz val="14.0"/>
      <color theme="1"/>
      <name val="Calibri"/>
    </font>
    <font>
      <sz val="10.0"/>
      <color theme="1"/>
      <name val="Calibri"/>
    </font>
    <font>
      <b/>
      <sz val="10.0"/>
      <color theme="1"/>
      <name val="Calibri"/>
    </font>
    <font>
      <b/>
      <sz val="16.0"/>
      <color rgb="FF1E4E79"/>
      <name val="Calibri"/>
    </font>
    <font>
      <i/>
      <sz val="11.0"/>
      <color theme="1"/>
      <name val="Calibri"/>
    </font>
    <font>
      <color theme="1"/>
      <name val="Arial"/>
    </font>
    <font>
      <i/>
      <color theme="1"/>
      <name val="Calibri"/>
      <scheme val="minor"/>
    </font>
    <font>
      <b/>
      <sz val="12.0"/>
      <color theme="1"/>
      <name val="Calibri"/>
    </font>
  </fonts>
  <fills count="6">
    <fill>
      <patternFill patternType="none"/>
    </fill>
    <fill>
      <patternFill patternType="lightGray"/>
    </fill>
    <fill>
      <patternFill patternType="solid">
        <fgColor rgb="FFD0CECE"/>
        <bgColor rgb="FFD0CECE"/>
      </patternFill>
    </fill>
    <fill>
      <patternFill patternType="solid">
        <fgColor rgb="FFFFE599"/>
        <bgColor rgb="FFFFE599"/>
      </patternFill>
    </fill>
    <fill>
      <patternFill patternType="solid">
        <fgColor rgb="FFD9D9D9"/>
        <bgColor rgb="FFD9D9D9"/>
      </patternFill>
    </fill>
    <fill>
      <patternFill patternType="solid">
        <fgColor theme="7"/>
        <bgColor theme="7"/>
      </patternFill>
    </fill>
  </fills>
  <borders count="54">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right/>
      <top/>
      <bottom/>
    </border>
    <border>
      <left style="medium">
        <color rgb="FF000000"/>
      </left>
      <right style="medium">
        <color rgb="FF000000"/>
      </right>
      <top style="medium">
        <color rgb="FF000000"/>
      </top>
      <bottom style="medium">
        <color rgb="FF000000"/>
      </bottom>
    </border>
    <border>
      <bottom style="thin">
        <color rgb="FF000000"/>
      </bottom>
    </border>
    <border>
      <left style="medium">
        <color rgb="FF000000"/>
      </left>
      <bottom style="thin">
        <color rgb="FF000000"/>
      </bottom>
    </border>
    <border>
      <right style="medium">
        <color rgb="FF000000"/>
      </right>
      <bottom style="thin">
        <color rgb="FF000000"/>
      </bottom>
    </border>
    <border>
      <left style="medium">
        <color rgb="FF000000"/>
      </left>
      <right style="medium">
        <color rgb="FF000000"/>
      </right>
    </border>
    <border>
      <left style="medium">
        <color rgb="FF000000"/>
      </left>
      <top style="thin">
        <color rgb="FF000000"/>
      </top>
      <bottom style="thin">
        <color rgb="FF000000"/>
      </bottom>
    </border>
    <border>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thin">
        <color rgb="FF000000"/>
      </top>
    </border>
    <border>
      <left style="thin">
        <color rgb="FF000000"/>
      </left>
      <bottom style="medium">
        <color rgb="FF000000"/>
      </bottom>
    </border>
    <border>
      <left style="thin">
        <color rgb="FF000000"/>
      </left>
    </border>
    <border>
      <bottom style="thin">
        <color rgb="FFA3A3A3"/>
      </bottom>
    </border>
    <border>
      <left style="thin">
        <color rgb="FFA3A3A3"/>
      </left>
      <right style="thin">
        <color rgb="FFA3A3A3"/>
      </right>
      <bottom style="thin">
        <color rgb="FFA3A3A3"/>
      </bottom>
    </border>
    <border>
      <right style="thin">
        <color rgb="FFA3A3A3"/>
      </right>
      <bottom style="thin">
        <color rgb="FFA3A3A3"/>
      </bottom>
    </border>
    <border>
      <bottom style="medium">
        <color rgb="FFA3A3A3"/>
      </bottom>
    </border>
    <border>
      <left style="medium">
        <color rgb="FFA3A3A3"/>
      </left>
      <right style="medium">
        <color rgb="FFA3A3A3"/>
      </right>
      <top style="medium">
        <color rgb="FFA3A3A3"/>
      </top>
      <bottom style="medium">
        <color rgb="FFA3A3A3"/>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right/>
      <top/>
      <bottom style="thin">
        <color rgb="FF000000"/>
      </bottom>
    </border>
    <border>
      <left/>
      <right/>
      <top/>
      <bottom style="thin">
        <color rgb="FF000000"/>
      </bottom>
    </border>
    <border>
      <left/>
      <right style="medium">
        <color rgb="FF000000"/>
      </right>
      <top/>
      <bottom style="thin">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thin">
        <color rgb="FF000000"/>
      </top>
      <bottom/>
    </border>
    <border>
      <left/>
      <right/>
      <top style="thin">
        <color rgb="FF000000"/>
      </top>
      <bottom/>
    </border>
    <border>
      <left/>
      <right style="medium">
        <color rgb="FF000000"/>
      </right>
      <top style="thin">
        <color rgb="FF000000"/>
      </top>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top/>
      <bottom style="medium">
        <color rgb="FF000000"/>
      </bottom>
    </border>
  </borders>
  <cellStyleXfs count="1">
    <xf borderId="0" fillId="0" fontId="0" numFmtId="0" applyAlignment="1" applyFont="1"/>
  </cellStyleXfs>
  <cellXfs count="25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2" xfId="0" applyFont="1" applyNumberFormat="1"/>
    <xf borderId="0" fillId="0" fontId="2" numFmtId="0" xfId="0" applyAlignment="1" applyFont="1">
      <alignment readingOrder="0"/>
    </xf>
    <xf borderId="0" fillId="0" fontId="1" numFmtId="0" xfId="0" applyFont="1"/>
    <xf borderId="0" fillId="0" fontId="1" numFmtId="2" xfId="0" applyFont="1" applyNumberFormat="1"/>
    <xf borderId="0" fillId="0" fontId="3" numFmtId="1" xfId="0" applyFont="1" applyNumberFormat="1"/>
    <xf borderId="0" fillId="0" fontId="3" numFmtId="164" xfId="0" applyFont="1" applyNumberFormat="1"/>
    <xf borderId="0" fillId="0" fontId="3" numFmtId="2" xfId="0" applyAlignment="1" applyFont="1" applyNumberFormat="1">
      <alignment horizontal="center"/>
    </xf>
    <xf borderId="0" fillId="0" fontId="2" numFmtId="165" xfId="0" applyFont="1" applyNumberFormat="1"/>
    <xf borderId="0" fillId="0" fontId="3" numFmtId="0" xfId="0" applyAlignment="1" applyFont="1">
      <alignment horizontal="center"/>
    </xf>
    <xf borderId="0" fillId="0" fontId="3" numFmtId="1" xfId="0" applyAlignment="1" applyFont="1" applyNumberFormat="1">
      <alignment readingOrder="0"/>
    </xf>
    <xf borderId="0" fillId="0" fontId="2" numFmtId="0" xfId="0" applyAlignment="1" applyFont="1">
      <alignment horizontal="center"/>
    </xf>
    <xf borderId="0" fillId="0" fontId="1" numFmtId="0" xfId="0" applyAlignment="1" applyFont="1">
      <alignment horizontal="center"/>
    </xf>
    <xf borderId="0" fillId="0" fontId="2" numFmtId="0" xfId="0" applyAlignment="1" applyFont="1">
      <alignment horizontal="center" readingOrder="0"/>
    </xf>
    <xf borderId="0" fillId="0" fontId="3" numFmtId="0" xfId="0" applyAlignment="1" applyFont="1">
      <alignment horizontal="center" readingOrder="0"/>
    </xf>
    <xf quotePrefix="1" borderId="0" fillId="0" fontId="2" numFmtId="0" xfId="0" applyAlignment="1" applyFont="1">
      <alignment horizontal="center" readingOrder="0"/>
    </xf>
    <xf borderId="0" fillId="0" fontId="4" numFmtId="0" xfId="0" applyAlignment="1" applyFont="1">
      <alignment readingOrder="0"/>
    </xf>
    <xf borderId="0" fillId="0" fontId="2" numFmtId="166" xfId="0" applyAlignment="1" applyFont="1" applyNumberFormat="1">
      <alignment horizontal="right" readingOrder="0"/>
    </xf>
    <xf borderId="0" fillId="0" fontId="2" numFmtId="0" xfId="0" applyAlignment="1" applyFont="1">
      <alignment horizontal="right" readingOrder="0"/>
    </xf>
    <xf borderId="0" fillId="0" fontId="2" numFmtId="10" xfId="0" applyFont="1" applyNumberFormat="1"/>
    <xf borderId="0" fillId="0" fontId="2" numFmtId="166" xfId="0" applyAlignment="1" applyFont="1" applyNumberFormat="1">
      <alignment readingOrder="0"/>
    </xf>
    <xf borderId="0" fillId="0" fontId="4" numFmtId="0" xfId="0" applyFont="1"/>
    <xf borderId="0" fillId="0" fontId="2" numFmtId="0" xfId="0" applyAlignment="1" applyFont="1">
      <alignment horizontal="right"/>
    </xf>
    <xf borderId="0" fillId="0" fontId="4" numFmtId="0" xfId="0" applyAlignment="1" applyFont="1">
      <alignment horizontal="center" readingOrder="0"/>
    </xf>
    <xf quotePrefix="1" borderId="0" fillId="0" fontId="2" numFmtId="0" xfId="0" applyAlignment="1" applyFont="1">
      <alignment readingOrder="0"/>
    </xf>
    <xf borderId="0" fillId="0" fontId="5" numFmtId="0" xfId="0" applyFont="1"/>
    <xf borderId="1" fillId="0" fontId="5" numFmtId="0" xfId="0" applyAlignment="1" applyBorder="1" applyFont="1">
      <alignment horizontal="left"/>
    </xf>
    <xf borderId="2" fillId="0" fontId="6" numFmtId="0" xfId="0" applyBorder="1" applyFont="1"/>
    <xf borderId="3" fillId="0" fontId="6" numFmtId="0" xfId="0" applyBorder="1" applyFont="1"/>
    <xf borderId="0" fillId="0" fontId="7" numFmtId="0" xfId="0" applyFont="1"/>
    <xf borderId="4" fillId="0" fontId="6" numFmtId="0" xfId="0" applyBorder="1" applyFont="1"/>
    <xf borderId="5" fillId="0" fontId="6" numFmtId="0" xfId="0" applyBorder="1" applyFont="1"/>
    <xf borderId="0" fillId="0" fontId="7" numFmtId="0" xfId="0" applyAlignment="1" applyFont="1">
      <alignment horizontal="center"/>
    </xf>
    <xf borderId="6" fillId="0" fontId="6" numFmtId="0" xfId="0" applyBorder="1" applyFont="1"/>
    <xf borderId="7" fillId="0" fontId="6" numFmtId="0" xfId="0" applyBorder="1" applyFont="1"/>
    <xf borderId="8" fillId="0" fontId="6" numFmtId="0" xfId="0" applyBorder="1" applyFont="1"/>
    <xf borderId="1" fillId="0" fontId="5" numFmtId="0" xfId="0" applyBorder="1" applyFont="1"/>
    <xf quotePrefix="1" borderId="9" fillId="0" fontId="5" numFmtId="0" xfId="0" applyAlignment="1" applyBorder="1" applyFont="1">
      <alignment horizontal="center" vertical="center"/>
    </xf>
    <xf borderId="2" fillId="0" fontId="5" numFmtId="0" xfId="0" applyAlignment="1" applyBorder="1" applyFont="1">
      <alignment horizontal="center" vertical="center"/>
    </xf>
    <xf quotePrefix="1" borderId="9" fillId="0" fontId="5" numFmtId="49" xfId="0" applyAlignment="1" applyBorder="1" applyFont="1" applyNumberFormat="1">
      <alignment horizontal="center" vertical="center"/>
    </xf>
    <xf borderId="9" fillId="0" fontId="5" numFmtId="0" xfId="0" applyAlignment="1" applyBorder="1" applyFont="1">
      <alignment horizontal="center" vertical="center"/>
    </xf>
    <xf borderId="2" fillId="0" fontId="5" numFmtId="0" xfId="0" applyBorder="1" applyFont="1"/>
    <xf borderId="9" fillId="0" fontId="5" numFmtId="0" xfId="0" applyBorder="1" applyFont="1"/>
    <xf borderId="6" fillId="0" fontId="5" numFmtId="0" xfId="0" applyBorder="1" applyFont="1"/>
    <xf quotePrefix="1" borderId="10" fillId="0" fontId="5" numFmtId="0" xfId="0" applyAlignment="1" applyBorder="1" applyFont="1">
      <alignment horizontal="center" vertical="center"/>
    </xf>
    <xf borderId="7" fillId="0" fontId="5" numFmtId="0" xfId="0" applyAlignment="1" applyBorder="1" applyFont="1">
      <alignment horizontal="center" vertical="center"/>
    </xf>
    <xf quotePrefix="1" borderId="10" fillId="0" fontId="5" numFmtId="49" xfId="0" applyAlignment="1" applyBorder="1" applyFont="1" applyNumberFormat="1">
      <alignment horizontal="center" vertical="center"/>
    </xf>
    <xf borderId="10" fillId="0" fontId="5" numFmtId="0" xfId="0" applyAlignment="1" applyBorder="1" applyFont="1">
      <alignment horizontal="center" vertical="center"/>
    </xf>
    <xf borderId="7" fillId="0" fontId="5" numFmtId="0" xfId="0" applyBorder="1" applyFont="1"/>
    <xf borderId="10" fillId="0" fontId="5" numFmtId="0" xfId="0" applyBorder="1" applyFont="1"/>
    <xf borderId="9" fillId="0" fontId="5" numFmtId="0" xfId="0" applyAlignment="1" applyBorder="1" applyFont="1">
      <alignment horizontal="left"/>
    </xf>
    <xf borderId="11" fillId="2" fontId="5" numFmtId="0" xfId="0" applyBorder="1" applyFill="1" applyFont="1"/>
    <xf borderId="11" fillId="2" fontId="5" numFmtId="0" xfId="0" applyAlignment="1" applyBorder="1" applyFont="1">
      <alignment horizontal="center" vertical="center"/>
    </xf>
    <xf borderId="11" fillId="2" fontId="5" numFmtId="49" xfId="0" applyAlignment="1" applyBorder="1" applyFont="1" applyNumberFormat="1">
      <alignment horizontal="center" vertical="center"/>
    </xf>
    <xf borderId="10" fillId="0" fontId="5" numFmtId="0" xfId="0" applyAlignment="1" applyBorder="1" applyFont="1">
      <alignment horizontal="left"/>
    </xf>
    <xf borderId="10" fillId="0" fontId="6" numFmtId="0" xfId="0" applyBorder="1" applyFont="1"/>
    <xf borderId="9" fillId="0" fontId="5" numFmtId="49" xfId="0" applyAlignment="1" applyBorder="1" applyFont="1" applyNumberFormat="1">
      <alignment horizontal="center" vertical="center"/>
    </xf>
    <xf borderId="10" fillId="0" fontId="5" numFmtId="49" xfId="0" applyAlignment="1" applyBorder="1" applyFont="1" applyNumberFormat="1">
      <alignment horizontal="center" vertical="center"/>
    </xf>
    <xf borderId="3" fillId="0" fontId="5" numFmtId="0" xfId="0" applyBorder="1" applyFont="1"/>
    <xf borderId="8" fillId="0" fontId="5" numFmtId="0" xfId="0" applyBorder="1" applyFont="1"/>
    <xf borderId="12" fillId="0" fontId="5" numFmtId="0" xfId="0" applyBorder="1" applyFont="1"/>
    <xf borderId="1" fillId="0" fontId="7" numFmtId="0" xfId="0" applyBorder="1" applyFont="1"/>
    <xf borderId="2" fillId="0" fontId="7" numFmtId="0" xfId="0" applyBorder="1" applyFont="1"/>
    <xf borderId="4" fillId="0" fontId="7" numFmtId="0" xfId="0" applyBorder="1" applyFont="1"/>
    <xf borderId="4" fillId="0" fontId="5" numFmtId="0" xfId="0" applyBorder="1" applyFont="1"/>
    <xf borderId="5" fillId="0" fontId="5" numFmtId="0" xfId="0" applyBorder="1" applyFont="1"/>
    <xf borderId="13" fillId="0" fontId="5" numFmtId="0" xfId="0" applyAlignment="1" applyBorder="1" applyFont="1">
      <alignment horizontal="right"/>
    </xf>
    <xf borderId="13" fillId="0" fontId="5" numFmtId="0" xfId="0" applyBorder="1" applyFont="1"/>
    <xf borderId="14" fillId="0" fontId="5" numFmtId="0" xfId="0" applyBorder="1" applyFont="1"/>
    <xf borderId="15" fillId="0" fontId="5" numFmtId="0" xfId="0" applyBorder="1" applyFont="1"/>
    <xf borderId="3" fillId="0" fontId="7" numFmtId="0" xfId="0" applyBorder="1" applyFont="1"/>
    <xf borderId="4" fillId="0" fontId="7" numFmtId="0" xfId="0" applyAlignment="1" applyBorder="1" applyFont="1">
      <alignment horizontal="center"/>
    </xf>
    <xf borderId="5" fillId="0" fontId="7" numFmtId="0" xfId="0" applyAlignment="1" applyBorder="1" applyFont="1">
      <alignment horizontal="center"/>
    </xf>
    <xf borderId="6" fillId="0" fontId="7" numFmtId="0" xfId="0" applyBorder="1" applyFont="1"/>
    <xf borderId="0" fillId="0" fontId="8" numFmtId="0" xfId="0" applyFont="1"/>
    <xf borderId="1" fillId="0" fontId="8" numFmtId="0" xfId="0" applyAlignment="1" applyBorder="1" applyFont="1">
      <alignment horizontal="left" shrinkToFit="0" wrapText="1"/>
    </xf>
    <xf borderId="9" fillId="0" fontId="8" numFmtId="0" xfId="0" applyAlignment="1" applyBorder="1" applyFont="1">
      <alignment horizontal="left" shrinkToFit="0" wrapText="1"/>
    </xf>
    <xf borderId="0" fillId="0" fontId="8" numFmtId="0" xfId="0" applyAlignment="1" applyFont="1">
      <alignment horizontal="left" shrinkToFit="0" wrapText="1"/>
    </xf>
    <xf borderId="0" fillId="0" fontId="9" numFmtId="0" xfId="0" applyAlignment="1" applyFont="1">
      <alignment horizontal="left"/>
    </xf>
    <xf borderId="16" fillId="0" fontId="6" numFmtId="0" xfId="0" applyBorder="1" applyFont="1"/>
    <xf borderId="0" fillId="0" fontId="9" numFmtId="0" xfId="0" applyAlignment="1" applyFont="1">
      <alignment horizontal="center"/>
    </xf>
    <xf borderId="1" fillId="0" fontId="8" numFmtId="0" xfId="0" applyBorder="1" applyFont="1"/>
    <xf quotePrefix="1" borderId="9" fillId="0" fontId="8" numFmtId="0" xfId="0" applyAlignment="1" applyBorder="1" applyFont="1">
      <alignment horizontal="center" vertical="center"/>
    </xf>
    <xf borderId="9" fillId="0" fontId="8" numFmtId="0" xfId="0" applyAlignment="1" applyBorder="1" applyFont="1">
      <alignment horizontal="center" vertical="center"/>
    </xf>
    <xf quotePrefix="1" borderId="9" fillId="0" fontId="8" numFmtId="49" xfId="0" applyAlignment="1" applyBorder="1" applyFont="1" applyNumberFormat="1">
      <alignment horizontal="center" vertical="center"/>
    </xf>
    <xf borderId="9" fillId="0" fontId="8" numFmtId="0" xfId="0" applyAlignment="1" applyBorder="1" applyFont="1">
      <alignment horizontal="center"/>
    </xf>
    <xf borderId="6" fillId="0" fontId="8" numFmtId="0" xfId="0" applyBorder="1" applyFont="1"/>
    <xf quotePrefix="1" borderId="10" fillId="0" fontId="8" numFmtId="0" xfId="0" applyAlignment="1" applyBorder="1" applyFont="1">
      <alignment horizontal="center" vertical="center"/>
    </xf>
    <xf quotePrefix="1" borderId="10" fillId="0" fontId="8" numFmtId="49" xfId="0" applyAlignment="1" applyBorder="1" applyFont="1" applyNumberFormat="1">
      <alignment horizontal="center" vertical="center"/>
    </xf>
    <xf borderId="1" fillId="0" fontId="8" numFmtId="0" xfId="0" applyAlignment="1" applyBorder="1" applyFont="1">
      <alignment horizontal="left"/>
    </xf>
    <xf borderId="11" fillId="2" fontId="8" numFmtId="0" xfId="0" applyBorder="1" applyFont="1"/>
    <xf borderId="11" fillId="2" fontId="8" numFmtId="0" xfId="0" applyAlignment="1" applyBorder="1" applyFont="1">
      <alignment horizontal="center" vertical="center"/>
    </xf>
    <xf borderId="11" fillId="2" fontId="8" numFmtId="49" xfId="0" applyAlignment="1" applyBorder="1" applyFont="1" applyNumberFormat="1">
      <alignment horizontal="center" vertical="center"/>
    </xf>
    <xf borderId="9" fillId="0" fontId="8" numFmtId="49" xfId="0" applyAlignment="1" applyBorder="1" applyFont="1" applyNumberFormat="1">
      <alignment horizontal="center" vertical="center"/>
    </xf>
    <xf borderId="0" fillId="0" fontId="8" numFmtId="0" xfId="0" applyAlignment="1" applyFont="1">
      <alignment horizontal="left"/>
    </xf>
    <xf borderId="10" fillId="0" fontId="8" numFmtId="0" xfId="0" applyAlignment="1" applyBorder="1" applyFont="1">
      <alignment horizontal="center" vertical="center"/>
    </xf>
    <xf borderId="10" fillId="0" fontId="8" numFmtId="49" xfId="0" applyAlignment="1" applyBorder="1" applyFont="1" applyNumberFormat="1">
      <alignment horizontal="center" vertical="center"/>
    </xf>
    <xf borderId="1" fillId="0" fontId="9" numFmtId="0" xfId="0" applyAlignment="1" applyBorder="1" applyFont="1">
      <alignment horizontal="left"/>
    </xf>
    <xf borderId="2" fillId="0" fontId="9" numFmtId="0" xfId="0" applyBorder="1" applyFont="1"/>
    <xf borderId="3" fillId="0" fontId="9" numFmtId="0" xfId="0" applyBorder="1" applyFont="1"/>
    <xf borderId="0" fillId="0" fontId="9" numFmtId="0" xfId="0" applyFont="1"/>
    <xf borderId="4" fillId="0" fontId="9" numFmtId="0" xfId="0" applyAlignment="1" applyBorder="1" applyFont="1">
      <alignment horizontal="center"/>
    </xf>
    <xf borderId="5" fillId="0" fontId="9" numFmtId="0" xfId="0" applyAlignment="1" applyBorder="1" applyFont="1">
      <alignment horizontal="center"/>
    </xf>
    <xf borderId="14" fillId="0" fontId="8" numFmtId="0" xfId="0" applyAlignment="1" applyBorder="1" applyFont="1">
      <alignment horizontal="right"/>
    </xf>
    <xf borderId="13" fillId="0" fontId="6" numFmtId="0" xfId="0" applyBorder="1" applyFont="1"/>
    <xf borderId="13" fillId="3" fontId="8" numFmtId="0" xfId="0" applyBorder="1" applyFill="1" applyFont="1"/>
    <xf borderId="15" fillId="4" fontId="9" numFmtId="0" xfId="0" applyBorder="1" applyFill="1" applyFont="1"/>
    <xf borderId="17" fillId="0" fontId="8" numFmtId="0" xfId="0" applyAlignment="1" applyBorder="1" applyFont="1">
      <alignment horizontal="right"/>
    </xf>
    <xf borderId="18" fillId="0" fontId="6" numFmtId="0" xfId="0" applyBorder="1" applyFont="1"/>
    <xf borderId="12" fillId="0" fontId="8" numFmtId="0" xfId="0" applyBorder="1" applyFont="1"/>
    <xf borderId="4" fillId="0" fontId="9" numFmtId="0" xfId="0" applyBorder="1" applyFont="1"/>
    <xf borderId="3" fillId="0" fontId="9" numFmtId="0" xfId="0" applyAlignment="1" applyBorder="1" applyFont="1">
      <alignment horizontal="center"/>
    </xf>
    <xf borderId="6" fillId="0" fontId="8" numFmtId="0" xfId="0" applyAlignment="1" applyBorder="1" applyFont="1">
      <alignment horizontal="right"/>
    </xf>
    <xf borderId="7" fillId="2" fontId="8" numFmtId="0" xfId="0" applyBorder="1" applyFont="1"/>
    <xf borderId="7" fillId="0" fontId="8" numFmtId="0" xfId="0" applyBorder="1" applyFont="1"/>
    <xf borderId="8" fillId="2" fontId="8" numFmtId="0" xfId="0" applyBorder="1" applyFont="1"/>
    <xf borderId="2" fillId="0" fontId="8" numFmtId="0" xfId="0" applyBorder="1" applyFont="1"/>
    <xf borderId="3" fillId="0" fontId="8" numFmtId="0" xfId="0" applyBorder="1" applyFont="1"/>
    <xf borderId="13" fillId="2" fontId="8" numFmtId="0" xfId="0" applyBorder="1" applyFont="1"/>
    <xf borderId="0" fillId="3" fontId="9" numFmtId="0" xfId="0" applyAlignment="1" applyFont="1">
      <alignment horizontal="center"/>
    </xf>
    <xf borderId="5" fillId="2" fontId="9" numFmtId="0" xfId="0" applyAlignment="1" applyBorder="1" applyFont="1">
      <alignment horizontal="center"/>
    </xf>
    <xf borderId="19" fillId="0" fontId="8" numFmtId="0" xfId="0" applyAlignment="1" applyBorder="1" applyFont="1">
      <alignment horizontal="right"/>
    </xf>
    <xf borderId="20" fillId="0" fontId="6" numFmtId="0" xfId="0" applyBorder="1" applyFont="1"/>
    <xf borderId="8" fillId="4" fontId="9" numFmtId="0" xfId="0" applyBorder="1" applyFont="1"/>
    <xf borderId="21" fillId="3" fontId="8" numFmtId="0" xfId="0" applyAlignment="1" applyBorder="1" applyFont="1">
      <alignment horizontal="right"/>
    </xf>
    <xf borderId="22" fillId="3" fontId="8" numFmtId="0" xfId="0" applyBorder="1" applyFont="1"/>
    <xf borderId="22" fillId="2" fontId="8" numFmtId="0" xfId="0" applyBorder="1" applyFont="1"/>
    <xf borderId="23" fillId="5" fontId="8" numFmtId="0" xfId="0" applyBorder="1" applyFill="1" applyFont="1"/>
    <xf borderId="14" fillId="0" fontId="8" numFmtId="0" xfId="0" applyBorder="1" applyFont="1"/>
    <xf borderId="13" fillId="0" fontId="8" numFmtId="0" xfId="0" applyBorder="1" applyFont="1"/>
    <xf borderId="15" fillId="2" fontId="9" numFmtId="0" xfId="0" applyAlignment="1" applyBorder="1" applyFont="1">
      <alignment horizontal="center"/>
    </xf>
    <xf borderId="0" fillId="0" fontId="8" numFmtId="0" xfId="0" applyAlignment="1" applyFont="1">
      <alignment horizontal="right"/>
    </xf>
    <xf borderId="24" fillId="0" fontId="8" numFmtId="0" xfId="0" applyBorder="1" applyFont="1"/>
    <xf borderId="25" fillId="0" fontId="8" numFmtId="0" xfId="0" applyBorder="1" applyFont="1"/>
    <xf borderId="25" fillId="3" fontId="8" numFmtId="0" xfId="0" applyBorder="1" applyFont="1"/>
    <xf borderId="26" fillId="2" fontId="9" numFmtId="0" xfId="0" applyAlignment="1" applyBorder="1" applyFont="1">
      <alignment horizontal="center"/>
    </xf>
    <xf borderId="1" fillId="0" fontId="9" numFmtId="0" xfId="0" applyBorder="1" applyFont="1"/>
    <xf borderId="13" fillId="0" fontId="8" numFmtId="0" xfId="0" applyAlignment="1" applyBorder="1" applyFont="1">
      <alignment horizontal="center"/>
    </xf>
    <xf borderId="15" fillId="2" fontId="9" numFmtId="0" xfId="0" applyBorder="1" applyFont="1"/>
    <xf borderId="15" fillId="3" fontId="8" numFmtId="0" xfId="0" applyBorder="1" applyFont="1"/>
    <xf borderId="18" fillId="0" fontId="8" numFmtId="0" xfId="0" applyAlignment="1" applyBorder="1" applyFont="1">
      <alignment horizontal="center"/>
    </xf>
    <xf borderId="6" fillId="0" fontId="9" numFmtId="0" xfId="0" applyBorder="1" applyFont="1"/>
    <xf borderId="7" fillId="2" fontId="9" numFmtId="0" xfId="0" applyBorder="1" applyFont="1"/>
    <xf borderId="8" fillId="2" fontId="9" numFmtId="0" xfId="0" applyBorder="1" applyFont="1"/>
    <xf borderId="20" fillId="0" fontId="8" numFmtId="0" xfId="0" applyAlignment="1" applyBorder="1" applyFont="1">
      <alignment horizontal="center"/>
    </xf>
    <xf borderId="7" fillId="3" fontId="8" numFmtId="0" xfId="0" applyBorder="1" applyFont="1"/>
    <xf borderId="2" fillId="0" fontId="9" numFmtId="0" xfId="0" applyAlignment="1" applyBorder="1" applyFont="1">
      <alignment horizontal="center"/>
    </xf>
    <xf borderId="8" fillId="3" fontId="8" numFmtId="0" xfId="0" applyBorder="1" applyFont="1"/>
    <xf borderId="2" fillId="0" fontId="9" numFmtId="0" xfId="0" applyAlignment="1" applyBorder="1" applyFont="1">
      <alignment horizontal="left"/>
    </xf>
    <xf borderId="15" fillId="0" fontId="8" numFmtId="0" xfId="0" applyBorder="1" applyFont="1"/>
    <xf borderId="8" fillId="0" fontId="8" numFmtId="0" xfId="0" applyBorder="1" applyFont="1"/>
    <xf borderId="8" fillId="2" fontId="9" numFmtId="0" xfId="0" applyAlignment="1" applyBorder="1" applyFont="1">
      <alignment horizontal="center"/>
    </xf>
    <xf borderId="27" fillId="0" fontId="9" numFmtId="0" xfId="0" applyBorder="1" applyFont="1"/>
    <xf borderId="28" fillId="0" fontId="8" numFmtId="167" xfId="0" applyBorder="1" applyFont="1" applyNumberFormat="1"/>
    <xf borderId="4" fillId="0" fontId="8" numFmtId="0" xfId="0" applyBorder="1" applyFont="1"/>
    <xf borderId="29" fillId="0" fontId="9" numFmtId="0" xfId="0" applyAlignment="1" applyBorder="1" applyFont="1">
      <alignment horizontal="center"/>
    </xf>
    <xf borderId="25" fillId="0" fontId="6" numFmtId="0" xfId="0" applyBorder="1" applyFont="1"/>
    <xf borderId="26" fillId="0" fontId="6" numFmtId="0" xfId="0" applyBorder="1" applyFont="1"/>
    <xf borderId="7" fillId="0" fontId="9" numFmtId="0" xfId="0" applyBorder="1" applyFont="1"/>
    <xf borderId="30" fillId="0" fontId="9" numFmtId="0" xfId="0" applyBorder="1" applyFont="1"/>
    <xf borderId="8" fillId="0" fontId="9" numFmtId="0" xfId="0" applyBorder="1" applyFont="1"/>
    <xf borderId="31" fillId="0" fontId="8" numFmtId="0" xfId="0" applyBorder="1" applyFont="1"/>
    <xf borderId="5" fillId="0" fontId="8" numFmtId="0" xfId="0" applyBorder="1" applyFont="1"/>
    <xf borderId="30" fillId="0" fontId="8" numFmtId="0" xfId="0" applyBorder="1" applyFont="1"/>
    <xf borderId="32" fillId="0" fontId="10" numFmtId="0" xfId="0" applyAlignment="1" applyBorder="1" applyFont="1">
      <alignment horizontal="center" vertical="bottom"/>
    </xf>
    <xf borderId="32" fillId="0" fontId="6" numFmtId="0" xfId="0" applyBorder="1" applyFont="1"/>
    <xf borderId="33" fillId="0" fontId="1" numFmtId="0" xfId="0" applyAlignment="1" applyBorder="1" applyFont="1">
      <alignment horizontal="center" vertical="top"/>
    </xf>
    <xf borderId="34" fillId="0" fontId="1" numFmtId="0" xfId="0" applyAlignment="1" applyBorder="1" applyFont="1">
      <alignment horizontal="center" vertical="top"/>
    </xf>
    <xf borderId="33" fillId="0" fontId="3" numFmtId="0" xfId="0" applyAlignment="1" applyBorder="1" applyFont="1">
      <alignment vertical="top"/>
    </xf>
    <xf borderId="34" fillId="0" fontId="3" numFmtId="0" xfId="0" applyAlignment="1" applyBorder="1" applyFont="1">
      <alignment vertical="top"/>
    </xf>
    <xf quotePrefix="1" borderId="34" fillId="0" fontId="3" numFmtId="0" xfId="0" applyAlignment="1" applyBorder="1" applyFont="1">
      <alignment horizontal="center" vertical="top"/>
    </xf>
    <xf borderId="34" fillId="0" fontId="3" numFmtId="0" xfId="0" applyAlignment="1" applyBorder="1" applyFont="1">
      <alignment horizontal="center" vertical="top"/>
    </xf>
    <xf borderId="34" fillId="0" fontId="1" numFmtId="0" xfId="0" applyAlignment="1" applyBorder="1" applyFont="1">
      <alignment readingOrder="0" vertical="top"/>
    </xf>
    <xf borderId="34" fillId="0" fontId="1" numFmtId="0" xfId="0" applyAlignment="1" applyBorder="1" applyFont="1">
      <alignment vertical="top"/>
    </xf>
    <xf borderId="33" fillId="0" fontId="3" numFmtId="0" xfId="0" applyAlignment="1" applyBorder="1" applyFont="1">
      <alignment readingOrder="0" vertical="top"/>
    </xf>
    <xf quotePrefix="1" borderId="0" fillId="0" fontId="11" numFmtId="0" xfId="0" applyAlignment="1" applyFont="1">
      <alignment shrinkToFit="0" vertical="bottom" wrapText="0"/>
    </xf>
    <xf borderId="0" fillId="0" fontId="12" numFmtId="0" xfId="0" applyAlignment="1" applyFont="1">
      <alignment vertical="bottom"/>
    </xf>
    <xf borderId="0" fillId="0" fontId="13" numFmtId="0" xfId="0" applyAlignment="1" applyFont="1">
      <alignment readingOrder="0"/>
    </xf>
    <xf borderId="0" fillId="0" fontId="11" numFmtId="0" xfId="0" applyAlignment="1" applyFont="1">
      <alignment shrinkToFit="0" vertical="top" wrapText="0"/>
    </xf>
    <xf borderId="0" fillId="0" fontId="11" numFmtId="0" xfId="0" applyAlignment="1" applyFont="1">
      <alignment readingOrder="0"/>
    </xf>
    <xf borderId="0" fillId="0" fontId="11" numFmtId="0" xfId="0" applyAlignment="1" applyFont="1">
      <alignment vertical="top"/>
    </xf>
    <xf borderId="34" fillId="0" fontId="12" numFmtId="0" xfId="0" applyAlignment="1" applyBorder="1" applyFont="1">
      <alignment vertical="top"/>
    </xf>
    <xf borderId="33" fillId="0" fontId="3" numFmtId="0" xfId="0" applyAlignment="1" applyBorder="1" applyFont="1">
      <alignment horizontal="right" vertical="top"/>
    </xf>
    <xf borderId="34" fillId="0" fontId="3" numFmtId="9" xfId="0" applyAlignment="1" applyBorder="1" applyFont="1" applyNumberFormat="1">
      <alignment horizontal="center" vertical="top"/>
    </xf>
    <xf borderId="33" fillId="0" fontId="12" numFmtId="0" xfId="0" applyAlignment="1" applyBorder="1" applyFont="1">
      <alignment horizontal="right" vertical="top"/>
    </xf>
    <xf borderId="33" fillId="0" fontId="3" numFmtId="0" xfId="0" applyAlignment="1" applyBorder="1" applyFont="1">
      <alignment horizontal="right" vertical="bottom"/>
    </xf>
    <xf borderId="33" fillId="0" fontId="3" numFmtId="168" xfId="0" applyAlignment="1" applyBorder="1" applyFont="1" applyNumberFormat="1">
      <alignment horizontal="right" vertical="top"/>
    </xf>
    <xf borderId="33" fillId="0" fontId="12" numFmtId="0" xfId="0" applyAlignment="1" applyBorder="1" applyFont="1">
      <alignment vertical="top"/>
    </xf>
    <xf borderId="34" fillId="0" fontId="3" numFmtId="0" xfId="0" applyAlignment="1" applyBorder="1" applyFont="1">
      <alignment horizontal="left" vertical="top"/>
    </xf>
    <xf borderId="34" fillId="0" fontId="12" numFmtId="0" xfId="0" applyAlignment="1" applyBorder="1" applyFont="1">
      <alignment horizontal="left" vertical="top"/>
    </xf>
    <xf borderId="34" fillId="0" fontId="3" numFmtId="168" xfId="0" applyAlignment="1" applyBorder="1" applyFont="1" applyNumberFormat="1">
      <alignment horizontal="left" vertical="top"/>
    </xf>
    <xf borderId="0" fillId="0" fontId="14" numFmtId="0" xfId="0" applyAlignment="1" applyFont="1">
      <alignment horizontal="center"/>
    </xf>
    <xf borderId="35" fillId="0" fontId="1" numFmtId="0" xfId="0" applyAlignment="1" applyBorder="1" applyFont="1">
      <alignment horizontal="center"/>
    </xf>
    <xf borderId="35" fillId="0" fontId="6" numFmtId="0" xfId="0" applyBorder="1" applyFont="1"/>
    <xf borderId="36" fillId="0" fontId="1" numFmtId="0" xfId="0" applyAlignment="1" applyBorder="1" applyFont="1">
      <alignment horizontal="center" shrinkToFit="0" vertical="center" wrapText="1"/>
    </xf>
    <xf borderId="0" fillId="0" fontId="3" numFmtId="0" xfId="0" applyAlignment="1" applyFont="1">
      <alignment horizontal="center" shrinkToFit="0" wrapText="1"/>
    </xf>
    <xf borderId="36" fillId="0" fontId="3" numFmtId="0" xfId="0" applyAlignment="1" applyBorder="1" applyFont="1">
      <alignment shrinkToFit="0" vertical="center" wrapText="1"/>
    </xf>
    <xf borderId="0" fillId="0" fontId="3" numFmtId="0" xfId="0" applyAlignment="1" applyFont="1">
      <alignment shrinkToFit="0" vertical="center" wrapText="1"/>
    </xf>
    <xf borderId="36" fillId="0" fontId="3" numFmtId="0" xfId="0" applyAlignment="1" applyBorder="1" applyFont="1">
      <alignment horizontal="center" shrinkToFit="0" vertical="center" wrapText="1"/>
    </xf>
    <xf borderId="37" fillId="2" fontId="7" numFmtId="0" xfId="0" applyBorder="1" applyFont="1"/>
    <xf borderId="38" fillId="2" fontId="5" numFmtId="0" xfId="0" applyBorder="1" applyFont="1"/>
    <xf borderId="39" fillId="2" fontId="5" numFmtId="0" xfId="0" applyBorder="1" applyFont="1"/>
    <xf borderId="38" fillId="2" fontId="7" numFmtId="0" xfId="0" applyBorder="1" applyFont="1"/>
    <xf borderId="39" fillId="2" fontId="7" numFmtId="0" xfId="0" applyAlignment="1" applyBorder="1" applyFont="1">
      <alignment horizontal="center"/>
    </xf>
    <xf borderId="37" fillId="2" fontId="7" numFmtId="0" xfId="0" applyAlignment="1" applyBorder="1" applyFont="1">
      <alignment horizontal="left"/>
    </xf>
    <xf borderId="39" fillId="2" fontId="7" numFmtId="0" xfId="0" applyBorder="1" applyFont="1"/>
    <xf borderId="40" fillId="2" fontId="7" numFmtId="0" xfId="0" applyAlignment="1" applyBorder="1" applyFont="1">
      <alignment horizontal="center"/>
    </xf>
    <xf borderId="11" fillId="2" fontId="7" numFmtId="0" xfId="0" applyAlignment="1" applyBorder="1" applyFont="1">
      <alignment horizontal="center"/>
    </xf>
    <xf borderId="41" fillId="2" fontId="7" numFmtId="0" xfId="0" applyAlignment="1" applyBorder="1" applyFont="1">
      <alignment horizontal="center"/>
    </xf>
    <xf borderId="40" fillId="2" fontId="7" numFmtId="0" xfId="0" applyBorder="1" applyFont="1"/>
    <xf borderId="42" fillId="2" fontId="5" numFmtId="0" xfId="0" applyBorder="1" applyFont="1"/>
    <xf borderId="43" fillId="2" fontId="5" numFmtId="0" xfId="0" applyBorder="1" applyFont="1"/>
    <xf borderId="44" fillId="2" fontId="7" numFmtId="0" xfId="0" applyBorder="1" applyFont="1"/>
    <xf borderId="45" fillId="2" fontId="5" numFmtId="0" xfId="0" applyAlignment="1" applyBorder="1" applyFont="1">
      <alignment horizontal="right"/>
    </xf>
    <xf borderId="46" fillId="2" fontId="5" numFmtId="0" xfId="0" applyBorder="1" applyFont="1"/>
    <xf borderId="47" fillId="2" fontId="5" numFmtId="0" xfId="0" applyBorder="1" applyFont="1"/>
    <xf borderId="44" fillId="2" fontId="7" numFmtId="0" xfId="0" applyAlignment="1" applyBorder="1" applyFont="1">
      <alignment horizontal="center"/>
    </xf>
    <xf borderId="0" fillId="0" fontId="5" numFmtId="0" xfId="0" applyAlignment="1" applyFont="1">
      <alignment horizontal="right"/>
    </xf>
    <xf borderId="48" fillId="2" fontId="5" numFmtId="0" xfId="0" applyBorder="1" applyFont="1"/>
    <xf borderId="49" fillId="2" fontId="5" numFmtId="0" xfId="0" applyBorder="1" applyFont="1"/>
    <xf borderId="50" fillId="2" fontId="7" numFmtId="0" xfId="0" applyAlignment="1" applyBorder="1" applyFont="1">
      <alignment horizontal="center"/>
    </xf>
    <xf borderId="38" fillId="2" fontId="3" numFmtId="0" xfId="0" applyBorder="1" applyFont="1"/>
    <xf borderId="45" fillId="2" fontId="5" numFmtId="0" xfId="0" applyBorder="1" applyFont="1"/>
    <xf borderId="47" fillId="2" fontId="7" numFmtId="0" xfId="0" applyBorder="1" applyFont="1"/>
    <xf borderId="0" fillId="0" fontId="5" numFmtId="0" xfId="0" applyAlignment="1" applyFont="1">
      <alignment horizontal="left"/>
    </xf>
    <xf borderId="37" fillId="2" fontId="9" numFmtId="0" xfId="0" applyBorder="1" applyFont="1"/>
    <xf borderId="38" fillId="2" fontId="9" numFmtId="0" xfId="0" applyBorder="1" applyFont="1"/>
    <xf borderId="39" fillId="2" fontId="9" numFmtId="0" xfId="0" applyBorder="1" applyFont="1"/>
    <xf borderId="51" fillId="2" fontId="5" numFmtId="0" xfId="0" applyAlignment="1" applyBorder="1" applyFont="1">
      <alignment horizontal="right"/>
    </xf>
    <xf borderId="52" fillId="2" fontId="5" numFmtId="0" xfId="0" applyBorder="1" applyFont="1"/>
    <xf borderId="53" fillId="2" fontId="5" numFmtId="0" xfId="0" applyBorder="1" applyFont="1"/>
    <xf borderId="40" fillId="2" fontId="9" numFmtId="0" xfId="0" applyAlignment="1" applyBorder="1" applyFont="1">
      <alignment horizontal="center"/>
    </xf>
    <xf borderId="11" fillId="2" fontId="9" numFmtId="0" xfId="0" applyAlignment="1" applyBorder="1" applyFont="1">
      <alignment horizontal="center"/>
    </xf>
    <xf borderId="41" fillId="2" fontId="9" numFmtId="0" xfId="0" applyAlignment="1" applyBorder="1" applyFont="1">
      <alignment horizontal="center"/>
    </xf>
    <xf borderId="42" fillId="2" fontId="8" numFmtId="0" xfId="0" applyBorder="1" applyFont="1"/>
    <xf borderId="43" fillId="2" fontId="8" numFmtId="0" xfId="0" applyBorder="1" applyFont="1"/>
    <xf borderId="44" fillId="2" fontId="8" numFmtId="0" xfId="0" applyBorder="1" applyFont="1"/>
    <xf borderId="45" fillId="2" fontId="9" numFmtId="0" xfId="0" applyBorder="1" applyFont="1"/>
    <xf borderId="46" fillId="2" fontId="8" numFmtId="0" xfId="0" applyBorder="1" applyFont="1"/>
    <xf borderId="46" fillId="2" fontId="9" numFmtId="0" xfId="0" applyBorder="1" applyFont="1"/>
    <xf borderId="47" fillId="2" fontId="9" numFmtId="0" xfId="0" applyBorder="1" applyFont="1"/>
    <xf borderId="37" fillId="2" fontId="8" numFmtId="0" xfId="0" applyBorder="1" applyFont="1"/>
    <xf borderId="38" fillId="2" fontId="9" numFmtId="0" xfId="0" applyAlignment="1" applyBorder="1" applyFont="1">
      <alignment horizontal="center"/>
    </xf>
    <xf borderId="38" fillId="2" fontId="8" numFmtId="0" xfId="0" applyBorder="1" applyFont="1"/>
    <xf borderId="39" fillId="2" fontId="8" numFmtId="0" xfId="0" applyBorder="1" applyFont="1"/>
    <xf borderId="47" fillId="2" fontId="8" numFmtId="0" xfId="0" applyBorder="1" applyFont="1"/>
    <xf borderId="47" fillId="2" fontId="7" numFmtId="0" xfId="0" applyAlignment="1" applyBorder="1" applyFont="1">
      <alignment horizontal="center"/>
    </xf>
    <xf borderId="42" fillId="2" fontId="5" numFmtId="0" xfId="0" applyAlignment="1" applyBorder="1" applyFont="1">
      <alignment horizontal="right"/>
    </xf>
    <xf borderId="43" fillId="2" fontId="5" numFmtId="0" xfId="0" applyAlignment="1" applyBorder="1" applyFont="1">
      <alignment horizontal="right"/>
    </xf>
    <xf borderId="46" fillId="2" fontId="5"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304800</xdr:colOff>
      <xdr:row>3</xdr:row>
      <xdr:rowOff>142875</xdr:rowOff>
    </xdr:from>
    <xdr:ext cx="476250" cy="476250"/>
    <xdr:grpSp>
      <xdr:nvGrpSpPr>
        <xdr:cNvPr id="2" name="Shape 2"/>
        <xdr:cNvGrpSpPr/>
      </xdr:nvGrpSpPr>
      <xdr:grpSpPr>
        <a:xfrm>
          <a:off x="5112638" y="3546638"/>
          <a:ext cx="466725" cy="466725"/>
          <a:chOff x="5112638" y="3546638"/>
          <a:chExt cx="466725" cy="466725"/>
        </a:xfrm>
      </xdr:grpSpPr>
      <xdr:cxnSp>
        <xdr:nvCxnSpPr>
          <xdr:cNvPr id="3" name="Shape 3"/>
          <xdr:cNvCxnSpPr/>
        </xdr:nvCxnSpPr>
        <xdr:spPr>
          <a:xfrm flipH="1">
            <a:off x="5112638" y="3546638"/>
            <a:ext cx="466725" cy="466725"/>
          </a:xfrm>
          <a:prstGeom prst="bentConnector3">
            <a:avLst>
              <a:gd fmla="val -26852" name="adj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5</xdr:col>
      <xdr:colOff>685800</xdr:colOff>
      <xdr:row>5</xdr:row>
      <xdr:rowOff>123825</xdr:rowOff>
    </xdr:from>
    <xdr:ext cx="809625" cy="219075"/>
    <xdr:grpSp>
      <xdr:nvGrpSpPr>
        <xdr:cNvPr id="2" name="Shape 2"/>
        <xdr:cNvGrpSpPr/>
      </xdr:nvGrpSpPr>
      <xdr:grpSpPr>
        <a:xfrm>
          <a:off x="4945950" y="3675225"/>
          <a:ext cx="800100" cy="209550"/>
          <a:chOff x="4945950" y="3675225"/>
          <a:chExt cx="800100" cy="209550"/>
        </a:xfrm>
      </xdr:grpSpPr>
      <xdr:cxnSp>
        <xdr:nvCxnSpPr>
          <xdr:cNvPr id="4" name="Shape 4"/>
          <xdr:cNvCxnSpPr/>
        </xdr:nvCxnSpPr>
        <xdr:spPr>
          <a:xfrm flipH="1">
            <a:off x="4945950" y="3675225"/>
            <a:ext cx="800100" cy="209550"/>
          </a:xfrm>
          <a:prstGeom prst="bentConnector3">
            <a:avLst>
              <a:gd fmla="val 116667" name="adj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16</xdr:col>
      <xdr:colOff>304800</xdr:colOff>
      <xdr:row>6</xdr:row>
      <xdr:rowOff>142875</xdr:rowOff>
    </xdr:from>
    <xdr:ext cx="476250" cy="476250"/>
    <xdr:grpSp>
      <xdr:nvGrpSpPr>
        <xdr:cNvPr id="2" name="Shape 2"/>
        <xdr:cNvGrpSpPr/>
      </xdr:nvGrpSpPr>
      <xdr:grpSpPr>
        <a:xfrm>
          <a:off x="5112638" y="3546638"/>
          <a:ext cx="466725" cy="466725"/>
          <a:chOff x="5112638" y="3546638"/>
          <a:chExt cx="466725" cy="466725"/>
        </a:xfrm>
      </xdr:grpSpPr>
      <xdr:cxnSp>
        <xdr:nvCxnSpPr>
          <xdr:cNvPr id="3" name="Shape 3"/>
          <xdr:cNvCxnSpPr/>
        </xdr:nvCxnSpPr>
        <xdr:spPr>
          <a:xfrm flipH="1">
            <a:off x="5112638" y="3546638"/>
            <a:ext cx="466725" cy="466725"/>
          </a:xfrm>
          <a:prstGeom prst="bentConnector3">
            <a:avLst>
              <a:gd fmla="val -26852" name="adj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5</xdr:col>
      <xdr:colOff>723900</xdr:colOff>
      <xdr:row>8</xdr:row>
      <xdr:rowOff>133350</xdr:rowOff>
    </xdr:from>
    <xdr:ext cx="809625" cy="219075"/>
    <xdr:grpSp>
      <xdr:nvGrpSpPr>
        <xdr:cNvPr id="2" name="Shape 2"/>
        <xdr:cNvGrpSpPr/>
      </xdr:nvGrpSpPr>
      <xdr:grpSpPr>
        <a:xfrm>
          <a:off x="4945950" y="3670463"/>
          <a:ext cx="800100" cy="219075"/>
          <a:chOff x="4945950" y="3670463"/>
          <a:chExt cx="800100" cy="219075"/>
        </a:xfrm>
      </xdr:grpSpPr>
      <xdr:cxnSp>
        <xdr:nvCxnSpPr>
          <xdr:cNvPr id="5" name="Shape 5"/>
          <xdr:cNvCxnSpPr/>
        </xdr:nvCxnSpPr>
        <xdr:spPr>
          <a:xfrm flipH="1">
            <a:off x="4945950" y="3670463"/>
            <a:ext cx="800100" cy="219075"/>
          </a:xfrm>
          <a:prstGeom prst="bentConnector3">
            <a:avLst>
              <a:gd fmla="val 116667" name="adj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16</xdr:col>
      <xdr:colOff>323850</xdr:colOff>
      <xdr:row>10</xdr:row>
      <xdr:rowOff>104775</xdr:rowOff>
    </xdr:from>
    <xdr:ext cx="476250" cy="476250"/>
    <xdr:grpSp>
      <xdr:nvGrpSpPr>
        <xdr:cNvPr id="2" name="Shape 2"/>
        <xdr:cNvGrpSpPr/>
      </xdr:nvGrpSpPr>
      <xdr:grpSpPr>
        <a:xfrm>
          <a:off x="5112638" y="3546638"/>
          <a:ext cx="466725" cy="466725"/>
          <a:chOff x="5112638" y="3546638"/>
          <a:chExt cx="466725" cy="466725"/>
        </a:xfrm>
      </xdr:grpSpPr>
      <xdr:cxnSp>
        <xdr:nvCxnSpPr>
          <xdr:cNvPr id="3" name="Shape 3"/>
          <xdr:cNvCxnSpPr/>
        </xdr:nvCxnSpPr>
        <xdr:spPr>
          <a:xfrm flipH="1">
            <a:off x="5112638" y="3546638"/>
            <a:ext cx="466725" cy="466725"/>
          </a:xfrm>
          <a:prstGeom prst="bentConnector3">
            <a:avLst>
              <a:gd fmla="val -26852" name="adj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8</xdr:col>
      <xdr:colOff>361950</xdr:colOff>
      <xdr:row>5</xdr:row>
      <xdr:rowOff>95250</xdr:rowOff>
    </xdr:from>
    <xdr:ext cx="4781550" cy="38100"/>
    <xdr:grpSp>
      <xdr:nvGrpSpPr>
        <xdr:cNvPr id="2" name="Shape 2"/>
        <xdr:cNvGrpSpPr/>
      </xdr:nvGrpSpPr>
      <xdr:grpSpPr>
        <a:xfrm>
          <a:off x="2955225" y="3770475"/>
          <a:ext cx="4781550" cy="19050"/>
          <a:chOff x="2955225" y="3770475"/>
          <a:chExt cx="4781550" cy="19050"/>
        </a:xfrm>
      </xdr:grpSpPr>
      <xdr:cxnSp>
        <xdr:nvCxnSpPr>
          <xdr:cNvPr id="6" name="Shape 6"/>
          <xdr:cNvCxnSpPr/>
        </xdr:nvCxnSpPr>
        <xdr:spPr>
          <a:xfrm flipH="1">
            <a:off x="2955225" y="3770475"/>
            <a:ext cx="4781550" cy="1905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8</xdr:col>
      <xdr:colOff>361950</xdr:colOff>
      <xdr:row>8</xdr:row>
      <xdr:rowOff>85725</xdr:rowOff>
    </xdr:from>
    <xdr:ext cx="4781550" cy="38100"/>
    <xdr:grpSp>
      <xdr:nvGrpSpPr>
        <xdr:cNvPr id="2" name="Shape 2"/>
        <xdr:cNvGrpSpPr/>
      </xdr:nvGrpSpPr>
      <xdr:grpSpPr>
        <a:xfrm>
          <a:off x="2955225" y="3770475"/>
          <a:ext cx="4781550" cy="19050"/>
          <a:chOff x="2955225" y="3770475"/>
          <a:chExt cx="4781550" cy="19050"/>
        </a:xfrm>
      </xdr:grpSpPr>
      <xdr:cxnSp>
        <xdr:nvCxnSpPr>
          <xdr:cNvPr id="6" name="Shape 6"/>
          <xdr:cNvCxnSpPr/>
        </xdr:nvCxnSpPr>
        <xdr:spPr>
          <a:xfrm flipH="1">
            <a:off x="2955225" y="3770475"/>
            <a:ext cx="4781550" cy="1905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304800</xdr:colOff>
      <xdr:row>3</xdr:row>
      <xdr:rowOff>104775</xdr:rowOff>
    </xdr:from>
    <xdr:ext cx="266700" cy="323850"/>
    <xdr:grpSp>
      <xdr:nvGrpSpPr>
        <xdr:cNvPr id="2" name="Shape 2"/>
        <xdr:cNvGrpSpPr/>
      </xdr:nvGrpSpPr>
      <xdr:grpSpPr>
        <a:xfrm>
          <a:off x="5217413" y="3622838"/>
          <a:ext cx="257175" cy="314325"/>
          <a:chOff x="5217413" y="3622838"/>
          <a:chExt cx="257175" cy="314325"/>
        </a:xfrm>
      </xdr:grpSpPr>
      <xdr:cxnSp>
        <xdr:nvCxnSpPr>
          <xdr:cNvPr id="7" name="Shape 7"/>
          <xdr:cNvCxnSpPr/>
        </xdr:nvCxnSpPr>
        <xdr:spPr>
          <a:xfrm flipH="1">
            <a:off x="5217413" y="3622838"/>
            <a:ext cx="257175" cy="314325"/>
          </a:xfrm>
          <a:prstGeom prst="bentConnector3">
            <a:avLst>
              <a:gd fmla="val -26852" name="adj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9</xdr:col>
      <xdr:colOff>514350</xdr:colOff>
      <xdr:row>5</xdr:row>
      <xdr:rowOff>76200</xdr:rowOff>
    </xdr:from>
    <xdr:ext cx="542925" cy="200025"/>
    <xdr:grpSp>
      <xdr:nvGrpSpPr>
        <xdr:cNvPr id="2" name="Shape 2"/>
        <xdr:cNvGrpSpPr/>
      </xdr:nvGrpSpPr>
      <xdr:grpSpPr>
        <a:xfrm>
          <a:off x="5079300" y="3684750"/>
          <a:ext cx="533400" cy="190500"/>
          <a:chOff x="5079300" y="3684750"/>
          <a:chExt cx="533400" cy="190500"/>
        </a:xfrm>
      </xdr:grpSpPr>
      <xdr:cxnSp>
        <xdr:nvCxnSpPr>
          <xdr:cNvPr id="8" name="Shape 8"/>
          <xdr:cNvCxnSpPr/>
        </xdr:nvCxnSpPr>
        <xdr:spPr>
          <a:xfrm flipH="1">
            <a:off x="5079300" y="3684750"/>
            <a:ext cx="533400" cy="190500"/>
          </a:xfrm>
          <a:prstGeom prst="bentConnector3">
            <a:avLst>
              <a:gd fmla="val 118333" name="adj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20</xdr:col>
      <xdr:colOff>304800</xdr:colOff>
      <xdr:row>6</xdr:row>
      <xdr:rowOff>114300</xdr:rowOff>
    </xdr:from>
    <xdr:ext cx="266700" cy="323850"/>
    <xdr:grpSp>
      <xdr:nvGrpSpPr>
        <xdr:cNvPr id="2" name="Shape 2"/>
        <xdr:cNvGrpSpPr/>
      </xdr:nvGrpSpPr>
      <xdr:grpSpPr>
        <a:xfrm>
          <a:off x="5217413" y="3622838"/>
          <a:ext cx="257175" cy="314325"/>
          <a:chOff x="5217413" y="3622838"/>
          <a:chExt cx="257175" cy="314325"/>
        </a:xfrm>
      </xdr:grpSpPr>
      <xdr:cxnSp>
        <xdr:nvCxnSpPr>
          <xdr:cNvPr id="7" name="Shape 7"/>
          <xdr:cNvCxnSpPr/>
        </xdr:nvCxnSpPr>
        <xdr:spPr>
          <a:xfrm flipH="1">
            <a:off x="5217413" y="3622838"/>
            <a:ext cx="257175" cy="314325"/>
          </a:xfrm>
          <a:prstGeom prst="bentConnector3">
            <a:avLst>
              <a:gd fmla="val -26852" name="adj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20</xdr:col>
      <xdr:colOff>104775</xdr:colOff>
      <xdr:row>10</xdr:row>
      <xdr:rowOff>47625</xdr:rowOff>
    </xdr:from>
    <xdr:ext cx="476250" cy="361950"/>
    <xdr:grpSp>
      <xdr:nvGrpSpPr>
        <xdr:cNvPr id="2" name="Shape 2"/>
        <xdr:cNvGrpSpPr/>
      </xdr:nvGrpSpPr>
      <xdr:grpSpPr>
        <a:xfrm>
          <a:off x="5112638" y="3603788"/>
          <a:ext cx="466725" cy="352425"/>
          <a:chOff x="5112638" y="3603788"/>
          <a:chExt cx="466725" cy="352425"/>
        </a:xfrm>
      </xdr:grpSpPr>
      <xdr:cxnSp>
        <xdr:nvCxnSpPr>
          <xdr:cNvPr id="9" name="Shape 9"/>
          <xdr:cNvCxnSpPr/>
        </xdr:nvCxnSpPr>
        <xdr:spPr>
          <a:xfrm flipH="1">
            <a:off x="5112638" y="3603788"/>
            <a:ext cx="466725" cy="352425"/>
          </a:xfrm>
          <a:prstGeom prst="bentConnector3">
            <a:avLst>
              <a:gd fmla="val -11538" name="adj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12</xdr:col>
      <xdr:colOff>342900</xdr:colOff>
      <xdr:row>5</xdr:row>
      <xdr:rowOff>57150</xdr:rowOff>
    </xdr:from>
    <xdr:ext cx="3400425" cy="38100"/>
    <xdr:grpSp>
      <xdr:nvGrpSpPr>
        <xdr:cNvPr id="2" name="Shape 2"/>
        <xdr:cNvGrpSpPr/>
      </xdr:nvGrpSpPr>
      <xdr:grpSpPr>
        <a:xfrm>
          <a:off x="3645788" y="3770475"/>
          <a:ext cx="3400425" cy="19050"/>
          <a:chOff x="3645788" y="3770475"/>
          <a:chExt cx="3400425" cy="19050"/>
        </a:xfrm>
      </xdr:grpSpPr>
      <xdr:cxnSp>
        <xdr:nvCxnSpPr>
          <xdr:cNvPr id="10" name="Shape 10"/>
          <xdr:cNvCxnSpPr/>
        </xdr:nvCxnSpPr>
        <xdr:spPr>
          <a:xfrm flipH="1">
            <a:off x="3645788" y="3770475"/>
            <a:ext cx="3400425" cy="1905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12</xdr:col>
      <xdr:colOff>361950</xdr:colOff>
      <xdr:row>8</xdr:row>
      <xdr:rowOff>85725</xdr:rowOff>
    </xdr:from>
    <xdr:ext cx="3524250" cy="38100"/>
    <xdr:grpSp>
      <xdr:nvGrpSpPr>
        <xdr:cNvPr id="2" name="Shape 2"/>
        <xdr:cNvGrpSpPr/>
      </xdr:nvGrpSpPr>
      <xdr:grpSpPr>
        <a:xfrm>
          <a:off x="3583875" y="3770475"/>
          <a:ext cx="3524250" cy="19050"/>
          <a:chOff x="3583875" y="3770475"/>
          <a:chExt cx="3524250" cy="19050"/>
        </a:xfrm>
      </xdr:grpSpPr>
      <xdr:cxnSp>
        <xdr:nvCxnSpPr>
          <xdr:cNvPr id="11" name="Shape 11"/>
          <xdr:cNvCxnSpPr/>
        </xdr:nvCxnSpPr>
        <xdr:spPr>
          <a:xfrm flipH="1">
            <a:off x="3583875" y="3770475"/>
            <a:ext cx="3524250" cy="1905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9</xdr:col>
      <xdr:colOff>523875</xdr:colOff>
      <xdr:row>8</xdr:row>
      <xdr:rowOff>104775</xdr:rowOff>
    </xdr:from>
    <xdr:ext cx="542925" cy="200025"/>
    <xdr:grpSp>
      <xdr:nvGrpSpPr>
        <xdr:cNvPr id="2" name="Shape 2"/>
        <xdr:cNvGrpSpPr/>
      </xdr:nvGrpSpPr>
      <xdr:grpSpPr>
        <a:xfrm>
          <a:off x="5079300" y="3684750"/>
          <a:ext cx="533400" cy="190500"/>
          <a:chOff x="5079300" y="3684750"/>
          <a:chExt cx="533400" cy="190500"/>
        </a:xfrm>
      </xdr:grpSpPr>
      <xdr:cxnSp>
        <xdr:nvCxnSpPr>
          <xdr:cNvPr id="8" name="Shape 8"/>
          <xdr:cNvCxnSpPr/>
        </xdr:nvCxnSpPr>
        <xdr:spPr>
          <a:xfrm flipH="1">
            <a:off x="5079300" y="3684750"/>
            <a:ext cx="533400" cy="190500"/>
          </a:xfrm>
          <a:prstGeom prst="bentConnector3">
            <a:avLst>
              <a:gd fmla="val 118333" name="adj1"/>
            </a:avLst>
          </a:prstGeom>
          <a:noFill/>
          <a:ln cap="flat" cmpd="sng" w="9525">
            <a:solidFill>
              <a:schemeClr val="accent1"/>
            </a:solidFill>
            <a:prstDash val="solid"/>
            <a:miter lim="800000"/>
            <a:headEnd len="sm" w="sm" type="none"/>
            <a:tailEnd len="med" w="med" type="triangle"/>
          </a:ln>
        </xdr:spPr>
      </xdr:cxnSp>
    </xdr:grp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12.57"/>
    <col customWidth="1" min="3" max="3" width="13.71"/>
    <col customWidth="1" min="4" max="4" width="6.29"/>
    <col customWidth="1" min="5" max="5" width="28.71"/>
    <col customWidth="1" min="6" max="6" width="11.14"/>
    <col customWidth="1" min="7" max="7" width="11.29"/>
    <col customWidth="1" min="8" max="8" width="9.86"/>
    <col customWidth="1" min="9" max="25" width="8.71"/>
  </cols>
  <sheetData>
    <row r="1">
      <c r="A1" s="1" t="s">
        <v>0</v>
      </c>
      <c r="F1" s="2" t="s">
        <v>1</v>
      </c>
      <c r="G1" s="3"/>
    </row>
    <row r="2">
      <c r="G2" s="3"/>
      <c r="N2" s="4" t="s">
        <v>2</v>
      </c>
    </row>
    <row r="3">
      <c r="C3" s="5" t="s">
        <v>3</v>
      </c>
      <c r="D3" s="5" t="s">
        <v>4</v>
      </c>
      <c r="E3" s="5" t="s">
        <v>5</v>
      </c>
      <c r="F3" s="5" t="s">
        <v>6</v>
      </c>
      <c r="G3" s="6" t="s">
        <v>7</v>
      </c>
    </row>
    <row r="4">
      <c r="A4" s="5" t="s">
        <v>8</v>
      </c>
      <c r="G4" s="3"/>
    </row>
    <row r="5">
      <c r="A5" s="2" t="s">
        <v>9</v>
      </c>
      <c r="C5" s="2">
        <v>9.0</v>
      </c>
      <c r="D5" s="2">
        <v>0.0</v>
      </c>
      <c r="E5" s="2" t="s">
        <v>10</v>
      </c>
      <c r="F5" s="2">
        <v>0.25</v>
      </c>
      <c r="G5" s="3">
        <v>0.15</v>
      </c>
    </row>
    <row r="6">
      <c r="A6" s="2" t="s">
        <v>11</v>
      </c>
      <c r="C6" s="2">
        <v>8.0</v>
      </c>
      <c r="D6" s="2">
        <v>0.0</v>
      </c>
      <c r="E6" s="2" t="s">
        <v>10</v>
      </c>
      <c r="F6" s="2">
        <v>0.5</v>
      </c>
      <c r="G6" s="3">
        <v>0.15</v>
      </c>
    </row>
    <row r="7">
      <c r="A7" s="2" t="s">
        <v>12</v>
      </c>
      <c r="C7" s="2">
        <v>4.0</v>
      </c>
      <c r="D7" s="2">
        <v>1.0</v>
      </c>
      <c r="E7" s="2" t="s">
        <v>13</v>
      </c>
      <c r="F7" s="2">
        <v>1.0</v>
      </c>
      <c r="G7" s="7">
        <v>7.0</v>
      </c>
    </row>
    <row r="8">
      <c r="A8" s="2" t="s">
        <v>14</v>
      </c>
      <c r="C8" s="2">
        <v>2.0</v>
      </c>
      <c r="D8" s="2">
        <v>2.0</v>
      </c>
      <c r="E8" s="2" t="s">
        <v>15</v>
      </c>
      <c r="F8" s="2">
        <v>2.0</v>
      </c>
      <c r="G8" s="7">
        <v>10.0</v>
      </c>
    </row>
    <row r="9">
      <c r="A9" s="2" t="s">
        <v>16</v>
      </c>
      <c r="C9" s="2">
        <v>2.0</v>
      </c>
      <c r="D9" s="2">
        <v>2.0</v>
      </c>
      <c r="E9" s="2" t="s">
        <v>15</v>
      </c>
      <c r="F9" s="2">
        <v>2.0</v>
      </c>
      <c r="G9" s="8">
        <v>2.5</v>
      </c>
    </row>
    <row r="10">
      <c r="G10" s="3"/>
    </row>
    <row r="11">
      <c r="A11" s="5" t="s">
        <v>17</v>
      </c>
      <c r="G11" s="3"/>
    </row>
    <row r="12">
      <c r="A12" s="2" t="s">
        <v>18</v>
      </c>
      <c r="C12" s="4">
        <v>8.0</v>
      </c>
      <c r="D12" s="2">
        <v>0.0</v>
      </c>
      <c r="E12" s="2" t="s">
        <v>19</v>
      </c>
      <c r="F12" s="2">
        <v>0.25</v>
      </c>
      <c r="G12" s="9" t="s">
        <v>20</v>
      </c>
    </row>
    <row r="13">
      <c r="A13" s="2" t="s">
        <v>21</v>
      </c>
      <c r="C13" s="4">
        <v>6.0</v>
      </c>
      <c r="D13" s="2">
        <v>0.0</v>
      </c>
      <c r="E13" s="2" t="s">
        <v>19</v>
      </c>
      <c r="F13" s="2">
        <v>0.5</v>
      </c>
      <c r="G13" s="3">
        <v>0.05</v>
      </c>
    </row>
    <row r="14">
      <c r="A14" s="2" t="s">
        <v>22</v>
      </c>
      <c r="C14" s="4">
        <v>3.0</v>
      </c>
      <c r="D14" s="2">
        <v>1.0</v>
      </c>
      <c r="E14" s="2" t="s">
        <v>23</v>
      </c>
      <c r="F14" s="2">
        <v>1.0</v>
      </c>
      <c r="G14" s="3">
        <v>0.1</v>
      </c>
    </row>
    <row r="15">
      <c r="A15" s="2" t="s">
        <v>24</v>
      </c>
      <c r="C15" s="2">
        <v>2.0</v>
      </c>
      <c r="D15" s="2">
        <v>2.0</v>
      </c>
      <c r="E15" s="2" t="s">
        <v>25</v>
      </c>
      <c r="F15" s="2">
        <v>2.0</v>
      </c>
      <c r="G15" s="8">
        <v>2.5</v>
      </c>
    </row>
    <row r="16">
      <c r="A16" s="2" t="s">
        <v>26</v>
      </c>
      <c r="C16" s="2">
        <v>2.0</v>
      </c>
      <c r="D16" s="2">
        <v>2.0</v>
      </c>
      <c r="E16" s="2" t="s">
        <v>23</v>
      </c>
      <c r="F16" s="2">
        <v>2.0</v>
      </c>
      <c r="G16" s="3">
        <v>0.25</v>
      </c>
      <c r="P16" s="10"/>
    </row>
    <row r="17">
      <c r="G17" s="3"/>
    </row>
    <row r="18">
      <c r="A18" s="5" t="s">
        <v>27</v>
      </c>
      <c r="G18" s="3"/>
    </row>
    <row r="19">
      <c r="A19" s="2" t="s">
        <v>28</v>
      </c>
      <c r="C19" s="2">
        <v>5.0</v>
      </c>
      <c r="D19" s="2">
        <v>2.0</v>
      </c>
      <c r="E19" s="4" t="s">
        <v>29</v>
      </c>
      <c r="F19" s="2">
        <v>0.5</v>
      </c>
      <c r="G19" s="8">
        <v>1.5</v>
      </c>
    </row>
    <row r="20">
      <c r="A20" s="2" t="s">
        <v>30</v>
      </c>
      <c r="C20" s="4">
        <v>3.0</v>
      </c>
      <c r="D20" s="2">
        <v>1.0</v>
      </c>
      <c r="E20" s="2" t="s">
        <v>23</v>
      </c>
      <c r="F20" s="2">
        <v>1.0</v>
      </c>
      <c r="G20" s="7">
        <v>3.0</v>
      </c>
    </row>
    <row r="21" ht="15.75" customHeight="1">
      <c r="A21" s="2" t="s">
        <v>31</v>
      </c>
      <c r="C21" s="2" t="s">
        <v>20</v>
      </c>
      <c r="D21" s="2">
        <v>0.0</v>
      </c>
      <c r="E21" s="2" t="s">
        <v>32</v>
      </c>
      <c r="F21" s="11" t="s">
        <v>20</v>
      </c>
      <c r="G21" s="3"/>
    </row>
    <row r="22" ht="15.75" customHeight="1">
      <c r="G22" s="3"/>
    </row>
    <row r="23" ht="15.75" customHeight="1">
      <c r="A23" s="5" t="s">
        <v>33</v>
      </c>
      <c r="G23" s="3"/>
    </row>
    <row r="24" ht="15.75" customHeight="1">
      <c r="A24" s="2" t="s">
        <v>34</v>
      </c>
      <c r="C24" s="2">
        <v>2.0</v>
      </c>
      <c r="D24" s="11" t="s">
        <v>20</v>
      </c>
      <c r="E24" s="2" t="s">
        <v>35</v>
      </c>
      <c r="F24" s="2">
        <v>1.0</v>
      </c>
      <c r="G24" s="3" t="s">
        <v>36</v>
      </c>
      <c r="H24" s="4" t="s">
        <v>37</v>
      </c>
    </row>
    <row r="25" ht="15.75" customHeight="1">
      <c r="A25" s="4" t="s">
        <v>38</v>
      </c>
      <c r="C25" s="2">
        <v>3.0</v>
      </c>
      <c r="D25" s="11"/>
      <c r="E25" s="11" t="s">
        <v>20</v>
      </c>
      <c r="F25" s="2">
        <v>0.5</v>
      </c>
      <c r="G25" s="8">
        <v>0.2</v>
      </c>
    </row>
    <row r="26" ht="15.75" customHeight="1">
      <c r="A26" s="4" t="s">
        <v>39</v>
      </c>
      <c r="C26" s="2">
        <v>3.0</v>
      </c>
      <c r="D26" s="11" t="s">
        <v>20</v>
      </c>
      <c r="E26" s="2" t="s">
        <v>40</v>
      </c>
      <c r="F26" s="2">
        <v>1.25</v>
      </c>
      <c r="G26" s="7">
        <v>2.0</v>
      </c>
      <c r="H26" s="4" t="s">
        <v>37</v>
      </c>
    </row>
    <row r="27" ht="15.75" customHeight="1">
      <c r="A27" s="2" t="s">
        <v>41</v>
      </c>
      <c r="C27" s="2">
        <v>2.0</v>
      </c>
      <c r="D27" s="11" t="s">
        <v>20</v>
      </c>
      <c r="E27" s="2" t="s">
        <v>42</v>
      </c>
      <c r="F27" s="2">
        <v>2.0</v>
      </c>
      <c r="G27" s="7">
        <v>4.0</v>
      </c>
      <c r="H27" s="4" t="s">
        <v>43</v>
      </c>
    </row>
    <row r="28" ht="15.75" customHeight="1">
      <c r="A28" s="2" t="s">
        <v>44</v>
      </c>
      <c r="C28" s="11" t="s">
        <v>45</v>
      </c>
      <c r="D28" s="11" t="s">
        <v>20</v>
      </c>
      <c r="E28" s="2" t="s">
        <v>46</v>
      </c>
      <c r="F28" s="2">
        <v>2.5</v>
      </c>
      <c r="G28" s="7">
        <v>6.0</v>
      </c>
      <c r="H28" s="4" t="s">
        <v>47</v>
      </c>
    </row>
    <row r="29" ht="15.75" customHeight="1">
      <c r="A29" s="4" t="s">
        <v>48</v>
      </c>
      <c r="C29" s="2">
        <v>4.0</v>
      </c>
      <c r="D29" s="11" t="s">
        <v>20</v>
      </c>
      <c r="E29" s="11" t="s">
        <v>20</v>
      </c>
      <c r="F29" s="2">
        <v>0.25</v>
      </c>
      <c r="G29" s="3">
        <v>0.025</v>
      </c>
    </row>
    <row r="30" ht="15.75" customHeight="1">
      <c r="D30" s="11"/>
      <c r="G30" s="3"/>
    </row>
    <row r="31" ht="15.75" customHeight="1">
      <c r="A31" s="5" t="s">
        <v>49</v>
      </c>
      <c r="C31" s="11" t="s">
        <v>45</v>
      </c>
      <c r="D31" s="11" t="s">
        <v>20</v>
      </c>
      <c r="E31" s="2" t="s">
        <v>50</v>
      </c>
      <c r="F31" s="11" t="s">
        <v>45</v>
      </c>
      <c r="G31" s="8">
        <v>32.5</v>
      </c>
    </row>
    <row r="32" ht="15.75" customHeight="1">
      <c r="C32" s="11"/>
      <c r="D32" s="11"/>
      <c r="F32" s="11"/>
      <c r="G32" s="3"/>
    </row>
    <row r="33" ht="15.75" customHeight="1">
      <c r="A33" s="5" t="s">
        <v>51</v>
      </c>
      <c r="C33" s="11" t="s">
        <v>45</v>
      </c>
      <c r="D33" s="11" t="s">
        <v>20</v>
      </c>
      <c r="E33" s="2" t="s">
        <v>50</v>
      </c>
      <c r="F33" s="11" t="s">
        <v>45</v>
      </c>
      <c r="G33" s="7">
        <v>250.0</v>
      </c>
    </row>
    <row r="34" ht="15.75" customHeight="1">
      <c r="G34" s="3"/>
    </row>
    <row r="35" ht="15.75" customHeight="1">
      <c r="G35" s="3"/>
    </row>
    <row r="36" ht="15.75" customHeight="1">
      <c r="G36" s="3"/>
    </row>
    <row r="37" ht="15.75" customHeight="1">
      <c r="G37" s="3"/>
    </row>
    <row r="38" ht="15.75" customHeight="1">
      <c r="G38" s="3"/>
    </row>
    <row r="39" ht="15.75" customHeight="1">
      <c r="G39" s="3"/>
    </row>
    <row r="40" ht="15.75" customHeight="1">
      <c r="G40" s="3"/>
    </row>
    <row r="41" ht="15.75" customHeight="1">
      <c r="G41" s="3"/>
    </row>
    <row r="42" ht="15.75" customHeight="1">
      <c r="G42" s="3"/>
    </row>
    <row r="43" ht="15.75" customHeight="1">
      <c r="G43" s="3"/>
    </row>
    <row r="44" ht="15.75" customHeight="1">
      <c r="G44" s="3"/>
    </row>
    <row r="45" ht="15.75" customHeight="1">
      <c r="G45" s="3"/>
    </row>
    <row r="46" ht="15.75" customHeight="1">
      <c r="G46" s="3"/>
    </row>
    <row r="47" ht="15.75" customHeight="1">
      <c r="G47" s="3"/>
    </row>
    <row r="48" ht="15.75" customHeight="1">
      <c r="G48" s="3"/>
    </row>
    <row r="49" ht="15.75" customHeight="1">
      <c r="G49" s="3"/>
    </row>
    <row r="50" ht="15.75" customHeight="1">
      <c r="G50" s="3"/>
    </row>
    <row r="51" ht="15.75" customHeight="1">
      <c r="G51" s="3"/>
    </row>
    <row r="52" ht="15.75" customHeight="1">
      <c r="G52" s="3"/>
    </row>
    <row r="53" ht="15.75" customHeight="1">
      <c r="G53" s="3"/>
    </row>
    <row r="54" ht="15.75" customHeight="1">
      <c r="G54" s="3"/>
    </row>
    <row r="55" ht="15.75" customHeight="1">
      <c r="G55" s="3"/>
    </row>
    <row r="56" ht="15.75" customHeight="1">
      <c r="G56" s="3"/>
    </row>
    <row r="57" ht="15.75" customHeight="1">
      <c r="G57" s="3"/>
    </row>
    <row r="58" ht="15.75" customHeight="1">
      <c r="G58" s="3"/>
    </row>
    <row r="59" ht="15.75" customHeight="1">
      <c r="G59" s="3"/>
    </row>
    <row r="60" ht="15.75" customHeight="1">
      <c r="G60" s="3"/>
    </row>
    <row r="61" ht="15.75" customHeight="1">
      <c r="G61" s="3"/>
    </row>
    <row r="62" ht="15.75" customHeight="1">
      <c r="G62" s="3"/>
    </row>
    <row r="63" ht="15.75" customHeight="1">
      <c r="G63" s="3"/>
    </row>
    <row r="64" ht="15.75" customHeight="1">
      <c r="G64" s="3"/>
    </row>
    <row r="65" ht="15.75" customHeight="1">
      <c r="G65" s="3"/>
    </row>
    <row r="66" ht="15.75" customHeight="1">
      <c r="G66" s="3"/>
    </row>
    <row r="67" ht="15.75" customHeight="1">
      <c r="G67" s="3"/>
    </row>
    <row r="68" ht="15.75" customHeight="1">
      <c r="G68" s="3"/>
    </row>
    <row r="69" ht="15.75" customHeight="1">
      <c r="G69" s="3"/>
    </row>
    <row r="70" ht="15.75" customHeight="1">
      <c r="G70" s="3"/>
    </row>
    <row r="71" ht="15.75" customHeight="1">
      <c r="G71" s="3"/>
    </row>
    <row r="72" ht="15.75" customHeight="1">
      <c r="G72" s="3"/>
    </row>
    <row r="73" ht="15.75" customHeight="1">
      <c r="G73" s="3"/>
    </row>
    <row r="74" ht="15.75" customHeight="1">
      <c r="G74" s="3"/>
    </row>
    <row r="75" ht="15.75" customHeight="1">
      <c r="G75" s="3"/>
    </row>
    <row r="76" ht="15.75" customHeight="1">
      <c r="G76" s="3"/>
    </row>
    <row r="77" ht="15.75" customHeight="1">
      <c r="G77" s="3"/>
    </row>
    <row r="78" ht="15.75" customHeight="1">
      <c r="G78" s="3"/>
    </row>
    <row r="79" ht="15.75" customHeight="1">
      <c r="G79" s="3"/>
    </row>
    <row r="80" ht="15.75" customHeight="1">
      <c r="G80" s="3"/>
    </row>
    <row r="81" ht="15.75" customHeight="1">
      <c r="G81" s="3"/>
    </row>
    <row r="82" ht="15.75" customHeight="1">
      <c r="G82" s="3"/>
    </row>
    <row r="83" ht="15.75" customHeight="1">
      <c r="G83" s="3"/>
    </row>
    <row r="84" ht="15.75" customHeight="1">
      <c r="G84" s="3"/>
    </row>
    <row r="85" ht="15.75" customHeight="1">
      <c r="G85" s="3"/>
    </row>
    <row r="86" ht="15.75" customHeight="1">
      <c r="G86" s="3"/>
    </row>
    <row r="87" ht="15.75" customHeight="1">
      <c r="G87" s="3"/>
    </row>
    <row r="88" ht="15.75" customHeight="1">
      <c r="G88" s="3"/>
    </row>
    <row r="89" ht="15.75" customHeight="1">
      <c r="G89" s="3"/>
    </row>
    <row r="90" ht="15.75" customHeight="1">
      <c r="G90" s="3"/>
    </row>
    <row r="91" ht="15.75" customHeight="1">
      <c r="G91" s="3"/>
    </row>
    <row r="92" ht="15.75" customHeight="1">
      <c r="G92" s="3"/>
    </row>
    <row r="93" ht="15.75" customHeight="1">
      <c r="G93" s="3"/>
    </row>
    <row r="94" ht="15.75" customHeight="1">
      <c r="G94" s="3"/>
    </row>
    <row r="95" ht="15.75" customHeight="1">
      <c r="G95" s="3"/>
    </row>
    <row r="96" ht="15.75" customHeight="1">
      <c r="G96" s="3"/>
    </row>
    <row r="97" ht="15.75" customHeight="1">
      <c r="G97" s="3"/>
    </row>
    <row r="98" ht="15.75" customHeight="1">
      <c r="G98" s="3"/>
    </row>
    <row r="99" ht="15.75" customHeight="1">
      <c r="G99" s="3"/>
    </row>
    <row r="100" ht="15.75" customHeight="1">
      <c r="G100" s="3"/>
    </row>
    <row r="101" ht="15.75" customHeight="1">
      <c r="G101" s="3"/>
    </row>
    <row r="102" ht="15.75" customHeight="1">
      <c r="G102" s="3"/>
    </row>
    <row r="103" ht="15.75" customHeight="1">
      <c r="G103" s="3"/>
    </row>
    <row r="104" ht="15.75" customHeight="1">
      <c r="G104" s="3"/>
    </row>
    <row r="105" ht="15.75" customHeight="1">
      <c r="G105" s="3"/>
    </row>
    <row r="106" ht="15.75" customHeight="1">
      <c r="G106" s="3"/>
    </row>
    <row r="107" ht="15.75" customHeight="1">
      <c r="G107" s="3"/>
    </row>
    <row r="108" ht="15.75" customHeight="1">
      <c r="G108" s="3"/>
    </row>
    <row r="109" ht="15.75" customHeight="1">
      <c r="G109" s="3"/>
    </row>
    <row r="110" ht="15.75" customHeight="1">
      <c r="G110" s="3"/>
    </row>
    <row r="111" ht="15.75" customHeight="1">
      <c r="G111" s="3"/>
    </row>
    <row r="112" ht="15.75" customHeight="1">
      <c r="G112" s="3"/>
    </row>
    <row r="113" ht="15.75" customHeight="1">
      <c r="G113" s="3"/>
    </row>
    <row r="114" ht="15.75" customHeight="1">
      <c r="G114" s="3"/>
    </row>
    <row r="115" ht="15.75" customHeight="1">
      <c r="G115" s="3"/>
    </row>
    <row r="116" ht="15.75" customHeight="1">
      <c r="G116" s="3"/>
    </row>
    <row r="117" ht="15.75" customHeight="1">
      <c r="G117" s="3"/>
    </row>
    <row r="118" ht="15.75" customHeight="1">
      <c r="G118" s="3"/>
    </row>
    <row r="119" ht="15.75" customHeight="1">
      <c r="G119" s="3"/>
    </row>
    <row r="120" ht="15.75" customHeight="1">
      <c r="G120" s="3"/>
    </row>
    <row r="121" ht="15.75" customHeight="1">
      <c r="G121" s="3"/>
    </row>
    <row r="122" ht="15.75" customHeight="1">
      <c r="G122" s="3"/>
    </row>
    <row r="123" ht="15.75" customHeight="1">
      <c r="G123" s="3"/>
    </row>
    <row r="124" ht="15.75" customHeight="1">
      <c r="G124" s="3"/>
    </row>
    <row r="125" ht="15.75" customHeight="1">
      <c r="G125" s="3"/>
    </row>
    <row r="126" ht="15.75" customHeight="1">
      <c r="G126" s="3"/>
    </row>
    <row r="127" ht="15.75" customHeight="1">
      <c r="G127" s="3"/>
    </row>
    <row r="128" ht="15.75" customHeight="1">
      <c r="G128" s="3"/>
    </row>
    <row r="129" ht="15.75" customHeight="1">
      <c r="G129" s="3"/>
    </row>
    <row r="130" ht="15.75" customHeight="1">
      <c r="G130" s="3"/>
    </row>
    <row r="131" ht="15.75" customHeight="1">
      <c r="G131" s="3"/>
    </row>
    <row r="132" ht="15.75" customHeight="1">
      <c r="G132" s="3"/>
    </row>
    <row r="133" ht="15.75" customHeight="1">
      <c r="G133" s="3"/>
    </row>
    <row r="134" ht="15.75" customHeight="1">
      <c r="G134" s="3"/>
    </row>
    <row r="135" ht="15.75" customHeight="1">
      <c r="G135" s="3"/>
    </row>
    <row r="136" ht="15.75" customHeight="1">
      <c r="G136" s="3"/>
    </row>
    <row r="137" ht="15.75" customHeight="1">
      <c r="G137" s="3"/>
    </row>
    <row r="138" ht="15.75" customHeight="1">
      <c r="G138" s="3"/>
    </row>
    <row r="139" ht="15.75" customHeight="1">
      <c r="G139" s="3"/>
    </row>
    <row r="140" ht="15.75" customHeight="1">
      <c r="G140" s="3"/>
    </row>
    <row r="141" ht="15.75" customHeight="1">
      <c r="G141" s="3"/>
    </row>
    <row r="142" ht="15.75" customHeight="1">
      <c r="G142" s="3"/>
    </row>
    <row r="143" ht="15.75" customHeight="1">
      <c r="G143" s="3"/>
    </row>
    <row r="144" ht="15.75" customHeight="1">
      <c r="G144" s="3"/>
    </row>
    <row r="145" ht="15.75" customHeight="1">
      <c r="G145" s="3"/>
    </row>
    <row r="146" ht="15.75" customHeight="1">
      <c r="G146" s="3"/>
    </row>
    <row r="147" ht="15.75" customHeight="1">
      <c r="G147" s="3"/>
    </row>
    <row r="148" ht="15.75" customHeight="1">
      <c r="G148" s="3"/>
    </row>
    <row r="149" ht="15.75" customHeight="1">
      <c r="G149" s="3"/>
    </row>
    <row r="150" ht="15.75" customHeight="1">
      <c r="G150" s="3"/>
    </row>
    <row r="151" ht="15.75" customHeight="1">
      <c r="G151" s="3"/>
    </row>
    <row r="152" ht="15.75" customHeight="1">
      <c r="G152" s="3"/>
    </row>
    <row r="153" ht="15.75" customHeight="1">
      <c r="G153" s="3"/>
    </row>
    <row r="154" ht="15.75" customHeight="1">
      <c r="G154" s="3"/>
    </row>
    <row r="155" ht="15.75" customHeight="1">
      <c r="G155" s="3"/>
    </row>
    <row r="156" ht="15.75" customHeight="1">
      <c r="G156" s="3"/>
    </row>
    <row r="157" ht="15.75" customHeight="1">
      <c r="G157" s="3"/>
    </row>
    <row r="158" ht="15.75" customHeight="1">
      <c r="G158" s="3"/>
    </row>
    <row r="159" ht="15.75" customHeight="1">
      <c r="G159" s="3"/>
    </row>
    <row r="160" ht="15.75" customHeight="1">
      <c r="G160" s="3"/>
    </row>
    <row r="161" ht="15.75" customHeight="1">
      <c r="G161" s="3"/>
    </row>
    <row r="162" ht="15.75" customHeight="1">
      <c r="G162" s="3"/>
    </row>
    <row r="163" ht="15.75" customHeight="1">
      <c r="G163" s="3"/>
    </row>
    <row r="164" ht="15.75" customHeight="1">
      <c r="G164" s="3"/>
    </row>
    <row r="165" ht="15.75" customHeight="1">
      <c r="G165" s="3"/>
    </row>
    <row r="166" ht="15.75" customHeight="1">
      <c r="G166" s="3"/>
    </row>
    <row r="167" ht="15.75" customHeight="1">
      <c r="G167" s="3"/>
    </row>
    <row r="168" ht="15.75" customHeight="1">
      <c r="G168" s="3"/>
    </row>
    <row r="169" ht="15.75" customHeight="1">
      <c r="G169" s="3"/>
    </row>
    <row r="170" ht="15.75" customHeight="1">
      <c r="G170" s="3"/>
    </row>
    <row r="171" ht="15.75" customHeight="1">
      <c r="G171" s="3"/>
    </row>
    <row r="172" ht="15.75" customHeight="1">
      <c r="G172" s="3"/>
    </row>
    <row r="173" ht="15.75" customHeight="1">
      <c r="G173" s="3"/>
    </row>
    <row r="174" ht="15.75" customHeight="1">
      <c r="G174" s="3"/>
    </row>
    <row r="175" ht="15.75" customHeight="1">
      <c r="G175" s="3"/>
    </row>
    <row r="176" ht="15.75" customHeight="1">
      <c r="G176" s="3"/>
    </row>
    <row r="177" ht="15.75" customHeight="1">
      <c r="G177" s="3"/>
    </row>
    <row r="178" ht="15.75" customHeight="1">
      <c r="G178" s="3"/>
    </row>
    <row r="179" ht="15.75" customHeight="1">
      <c r="G179" s="3"/>
    </row>
    <row r="180" ht="15.75" customHeight="1">
      <c r="G180" s="3"/>
    </row>
    <row r="181" ht="15.75" customHeight="1">
      <c r="G181" s="3"/>
    </row>
    <row r="182" ht="15.75" customHeight="1">
      <c r="G182" s="3"/>
    </row>
    <row r="183" ht="15.75" customHeight="1">
      <c r="G183" s="3"/>
    </row>
    <row r="184" ht="15.75" customHeight="1">
      <c r="G184" s="3"/>
    </row>
    <row r="185" ht="15.75" customHeight="1">
      <c r="G185" s="3"/>
    </row>
    <row r="186" ht="15.75" customHeight="1">
      <c r="G186" s="3"/>
    </row>
    <row r="187" ht="15.75" customHeight="1">
      <c r="G187" s="3"/>
    </row>
    <row r="188" ht="15.75" customHeight="1">
      <c r="G188" s="3"/>
    </row>
    <row r="189" ht="15.75" customHeight="1">
      <c r="G189" s="3"/>
    </row>
    <row r="190" ht="15.75" customHeight="1">
      <c r="G190" s="3"/>
    </row>
    <row r="191" ht="15.75" customHeight="1">
      <c r="G191" s="3"/>
    </row>
    <row r="192" ht="15.75" customHeight="1">
      <c r="G192" s="3"/>
    </row>
    <row r="193" ht="15.75" customHeight="1">
      <c r="G193" s="3"/>
    </row>
    <row r="194" ht="15.75" customHeight="1">
      <c r="G194" s="3"/>
    </row>
    <row r="195" ht="15.75" customHeight="1">
      <c r="G195" s="3"/>
    </row>
    <row r="196" ht="15.75" customHeight="1">
      <c r="G196" s="3"/>
    </row>
    <row r="197" ht="15.75" customHeight="1">
      <c r="G197" s="3"/>
    </row>
    <row r="198" ht="15.75" customHeight="1">
      <c r="G198" s="3"/>
    </row>
    <row r="199" ht="15.75" customHeight="1">
      <c r="G199" s="3"/>
    </row>
    <row r="200" ht="15.75" customHeight="1">
      <c r="G200" s="3"/>
    </row>
    <row r="201" ht="15.75" customHeight="1">
      <c r="G201" s="3"/>
    </row>
    <row r="202" ht="15.75" customHeight="1">
      <c r="G202" s="3"/>
    </row>
    <row r="203" ht="15.75" customHeight="1">
      <c r="G203" s="3"/>
    </row>
    <row r="204" ht="15.75" customHeight="1">
      <c r="G204" s="3"/>
    </row>
    <row r="205" ht="15.75" customHeight="1">
      <c r="G205" s="3"/>
    </row>
    <row r="206" ht="15.75" customHeight="1">
      <c r="G206" s="3"/>
    </row>
    <row r="207" ht="15.75" customHeight="1">
      <c r="G207" s="3"/>
    </row>
    <row r="208" ht="15.75" customHeight="1">
      <c r="G208" s="3"/>
    </row>
    <row r="209" ht="15.75" customHeight="1">
      <c r="G209" s="3"/>
    </row>
    <row r="210" ht="15.75" customHeight="1">
      <c r="G210" s="3"/>
    </row>
    <row r="211" ht="15.75" customHeight="1">
      <c r="G211" s="3"/>
    </row>
    <row r="212" ht="15.75" customHeight="1">
      <c r="G212" s="3"/>
    </row>
    <row r="213" ht="15.75" customHeight="1">
      <c r="G213" s="3"/>
    </row>
    <row r="214" ht="15.75" customHeight="1">
      <c r="G214" s="3"/>
    </row>
    <row r="215" ht="15.75" customHeight="1">
      <c r="G215" s="3"/>
    </row>
    <row r="216" ht="15.75" customHeight="1">
      <c r="G216" s="3"/>
    </row>
    <row r="217" ht="15.75" customHeight="1">
      <c r="G217" s="3"/>
    </row>
    <row r="218" ht="15.75" customHeight="1">
      <c r="G218" s="3"/>
    </row>
    <row r="219" ht="15.75" customHeight="1">
      <c r="G219" s="3"/>
    </row>
    <row r="220" ht="15.75" customHeight="1">
      <c r="G220" s="3"/>
    </row>
    <row r="221" ht="15.75" customHeight="1">
      <c r="G221" s="3"/>
    </row>
    <row r="222" ht="15.75" customHeight="1">
      <c r="G222" s="3"/>
    </row>
    <row r="223" ht="15.75" customHeight="1">
      <c r="G223" s="3"/>
    </row>
    <row r="224" ht="15.75" customHeight="1">
      <c r="G224" s="3"/>
    </row>
    <row r="225" ht="15.75" customHeight="1">
      <c r="G225" s="3"/>
    </row>
    <row r="226" ht="15.75" customHeight="1">
      <c r="G226" s="3"/>
    </row>
    <row r="227" ht="15.75" customHeight="1">
      <c r="G227" s="3"/>
    </row>
    <row r="228" ht="15.75" customHeight="1">
      <c r="G228" s="3"/>
    </row>
    <row r="229" ht="15.75" customHeight="1">
      <c r="G229" s="3"/>
    </row>
    <row r="230" ht="15.75" customHeight="1">
      <c r="G230" s="3"/>
    </row>
    <row r="231" ht="15.75" customHeight="1">
      <c r="G231" s="3"/>
    </row>
    <row r="232" ht="15.75" customHeight="1">
      <c r="G232" s="3"/>
    </row>
    <row r="233" ht="15.75" customHeight="1">
      <c r="G233" s="3"/>
    </row>
    <row r="234" ht="15.75" customHeight="1">
      <c r="G234" s="3"/>
    </row>
    <row r="235" ht="15.75" customHeight="1">
      <c r="G235" s="3"/>
    </row>
    <row r="236" ht="15.75" customHeight="1">
      <c r="G236" s="3"/>
    </row>
    <row r="237" ht="15.75" customHeight="1">
      <c r="G237" s="3"/>
    </row>
    <row r="238" ht="15.75" customHeight="1">
      <c r="G238" s="3"/>
    </row>
    <row r="239" ht="15.75" customHeight="1">
      <c r="G239" s="3"/>
    </row>
    <row r="240" ht="15.75" customHeight="1">
      <c r="G240" s="3"/>
    </row>
    <row r="241" ht="15.75" customHeight="1">
      <c r="G241" s="3"/>
    </row>
    <row r="242" ht="15.75" customHeight="1">
      <c r="G242" s="3"/>
    </row>
    <row r="243" ht="15.75" customHeight="1">
      <c r="G243" s="3"/>
    </row>
    <row r="244" ht="15.75" customHeight="1">
      <c r="G244" s="3"/>
    </row>
    <row r="245" ht="15.75" customHeight="1">
      <c r="G245" s="3"/>
    </row>
    <row r="246" ht="15.75" customHeight="1">
      <c r="G246" s="3"/>
    </row>
    <row r="247" ht="15.75" customHeight="1">
      <c r="G247" s="3"/>
    </row>
    <row r="248" ht="15.75" customHeight="1">
      <c r="G248" s="3"/>
    </row>
    <row r="249" ht="15.75" customHeight="1">
      <c r="G249" s="3"/>
    </row>
    <row r="250" ht="15.75" customHeight="1">
      <c r="G250" s="3"/>
    </row>
    <row r="251" ht="15.75" customHeight="1">
      <c r="G251" s="3"/>
    </row>
    <row r="252" ht="15.75" customHeight="1">
      <c r="G252" s="3"/>
    </row>
    <row r="253" ht="15.75" customHeight="1">
      <c r="G253" s="3"/>
    </row>
    <row r="254" ht="15.75" customHeight="1">
      <c r="G254" s="3"/>
    </row>
    <row r="255" ht="15.75" customHeight="1">
      <c r="G255" s="3"/>
    </row>
    <row r="256" ht="15.75" customHeight="1">
      <c r="G256" s="3"/>
    </row>
    <row r="257" ht="15.75" customHeight="1">
      <c r="G257" s="3"/>
    </row>
    <row r="258" ht="15.75" customHeight="1">
      <c r="G258" s="3"/>
    </row>
    <row r="259" ht="15.75" customHeight="1">
      <c r="G259" s="3"/>
    </row>
    <row r="260" ht="15.75" customHeight="1">
      <c r="G260" s="3"/>
    </row>
    <row r="261" ht="15.75" customHeight="1">
      <c r="G261" s="3"/>
    </row>
    <row r="262" ht="15.75" customHeight="1">
      <c r="G262" s="3"/>
    </row>
    <row r="263" ht="15.75" customHeight="1">
      <c r="G263" s="3"/>
    </row>
    <row r="264" ht="15.75" customHeight="1">
      <c r="G264" s="3"/>
    </row>
    <row r="265" ht="15.75" customHeight="1">
      <c r="G265" s="3"/>
    </row>
    <row r="266" ht="15.75" customHeight="1">
      <c r="G266" s="3"/>
    </row>
    <row r="267" ht="15.75" customHeight="1">
      <c r="G267" s="3"/>
    </row>
    <row r="268" ht="15.75" customHeight="1">
      <c r="G268" s="3"/>
    </row>
    <row r="269" ht="15.75" customHeight="1">
      <c r="G269" s="3"/>
    </row>
    <row r="270" ht="15.75" customHeight="1">
      <c r="G270" s="3"/>
    </row>
    <row r="271" ht="15.75" customHeight="1">
      <c r="G271" s="3"/>
    </row>
    <row r="272" ht="15.75" customHeight="1">
      <c r="G272" s="3"/>
    </row>
    <row r="273" ht="15.75" customHeight="1">
      <c r="G273" s="3"/>
    </row>
    <row r="274" ht="15.75" customHeight="1">
      <c r="G274" s="3"/>
    </row>
    <row r="275" ht="15.75" customHeight="1">
      <c r="G275" s="3"/>
    </row>
    <row r="276" ht="15.75" customHeight="1">
      <c r="G276" s="3"/>
    </row>
    <row r="277" ht="15.75" customHeight="1">
      <c r="G277" s="3"/>
    </row>
    <row r="278" ht="15.75" customHeight="1">
      <c r="G278" s="3"/>
    </row>
    <row r="279" ht="15.75" customHeight="1">
      <c r="G279" s="3"/>
    </row>
    <row r="280" ht="15.75" customHeight="1">
      <c r="G280" s="3"/>
    </row>
    <row r="281" ht="15.75" customHeight="1">
      <c r="G281" s="3"/>
    </row>
    <row r="282" ht="15.75" customHeight="1">
      <c r="G282" s="3"/>
    </row>
    <row r="283" ht="15.75" customHeight="1">
      <c r="G283" s="3"/>
    </row>
    <row r="284" ht="15.75" customHeight="1">
      <c r="G284" s="3"/>
    </row>
    <row r="285" ht="15.75" customHeight="1">
      <c r="G285" s="3"/>
    </row>
    <row r="286" ht="15.75" customHeight="1">
      <c r="G286" s="3"/>
    </row>
    <row r="287" ht="15.75" customHeight="1">
      <c r="G287" s="3"/>
    </row>
    <row r="288" ht="15.75" customHeight="1">
      <c r="G288" s="3"/>
    </row>
    <row r="289" ht="15.75" customHeight="1">
      <c r="G289" s="3"/>
    </row>
    <row r="290" ht="15.75" customHeight="1">
      <c r="G290" s="3"/>
    </row>
    <row r="291" ht="15.75" customHeight="1">
      <c r="G291" s="3"/>
    </row>
    <row r="292" ht="15.75" customHeight="1">
      <c r="G292" s="3"/>
    </row>
    <row r="293" ht="15.75" customHeight="1">
      <c r="G293" s="3"/>
    </row>
    <row r="294" ht="15.75" customHeight="1">
      <c r="G294" s="3"/>
    </row>
    <row r="295" ht="15.75" customHeight="1">
      <c r="G295" s="3"/>
    </row>
    <row r="296" ht="15.75" customHeight="1">
      <c r="G296" s="3"/>
    </row>
    <row r="297" ht="15.75" customHeight="1">
      <c r="G297" s="3"/>
    </row>
    <row r="298" ht="15.75" customHeight="1">
      <c r="G298" s="3"/>
    </row>
    <row r="299" ht="15.75" customHeight="1">
      <c r="G299" s="3"/>
    </row>
    <row r="300" ht="15.75" customHeight="1">
      <c r="G300" s="3"/>
    </row>
    <row r="301" ht="15.75" customHeight="1">
      <c r="G301" s="3"/>
    </row>
    <row r="302" ht="15.75" customHeight="1">
      <c r="G302" s="3"/>
    </row>
    <row r="303" ht="15.75" customHeight="1">
      <c r="G303" s="3"/>
    </row>
    <row r="304" ht="15.75" customHeight="1">
      <c r="G304" s="3"/>
    </row>
    <row r="305" ht="15.75" customHeight="1">
      <c r="G305" s="3"/>
    </row>
    <row r="306" ht="15.75" customHeight="1">
      <c r="G306" s="3"/>
    </row>
    <row r="307" ht="15.75" customHeight="1">
      <c r="G307" s="3"/>
    </row>
    <row r="308" ht="15.75" customHeight="1">
      <c r="G308" s="3"/>
    </row>
    <row r="309" ht="15.75" customHeight="1">
      <c r="G309" s="3"/>
    </row>
    <row r="310" ht="15.75" customHeight="1">
      <c r="G310" s="3"/>
    </row>
    <row r="311" ht="15.75" customHeight="1">
      <c r="G311" s="3"/>
    </row>
    <row r="312" ht="15.75" customHeight="1">
      <c r="G312" s="3"/>
    </row>
    <row r="313" ht="15.75" customHeight="1">
      <c r="G313" s="3"/>
    </row>
    <row r="314" ht="15.75" customHeight="1">
      <c r="G314" s="3"/>
    </row>
    <row r="315" ht="15.75" customHeight="1">
      <c r="G315" s="3"/>
    </row>
    <row r="316" ht="15.75" customHeight="1">
      <c r="G316" s="3"/>
    </row>
    <row r="317" ht="15.75" customHeight="1">
      <c r="G317" s="3"/>
    </row>
    <row r="318" ht="15.75" customHeight="1">
      <c r="G318" s="3"/>
    </row>
    <row r="319" ht="15.75" customHeight="1">
      <c r="G319" s="3"/>
    </row>
    <row r="320" ht="15.75" customHeight="1">
      <c r="G320" s="3"/>
    </row>
    <row r="321" ht="15.75" customHeight="1">
      <c r="G321" s="3"/>
    </row>
    <row r="322" ht="15.75" customHeight="1">
      <c r="G322" s="3"/>
    </row>
    <row r="323" ht="15.75" customHeight="1">
      <c r="G323" s="3"/>
    </row>
    <row r="324" ht="15.75" customHeight="1">
      <c r="G324" s="3"/>
    </row>
    <row r="325" ht="15.75" customHeight="1">
      <c r="G325" s="3"/>
    </row>
    <row r="326" ht="15.75" customHeight="1">
      <c r="G326" s="3"/>
    </row>
    <row r="327" ht="15.75" customHeight="1">
      <c r="G327" s="3"/>
    </row>
    <row r="328" ht="15.75" customHeight="1">
      <c r="G328" s="3"/>
    </row>
    <row r="329" ht="15.75" customHeight="1">
      <c r="G329" s="3"/>
    </row>
    <row r="330" ht="15.75" customHeight="1">
      <c r="G330" s="3"/>
    </row>
    <row r="331" ht="15.75" customHeight="1">
      <c r="G331" s="3"/>
    </row>
    <row r="332" ht="15.75" customHeight="1">
      <c r="G332" s="3"/>
    </row>
    <row r="333" ht="15.75" customHeight="1">
      <c r="G333" s="3"/>
    </row>
    <row r="334" ht="15.75" customHeight="1">
      <c r="G334" s="3"/>
    </row>
    <row r="335" ht="15.75" customHeight="1">
      <c r="G335" s="3"/>
    </row>
    <row r="336" ht="15.75" customHeight="1">
      <c r="G336" s="3"/>
    </row>
    <row r="337" ht="15.75" customHeight="1">
      <c r="G337" s="3"/>
    </row>
    <row r="338" ht="15.75" customHeight="1">
      <c r="G338" s="3"/>
    </row>
    <row r="339" ht="15.75" customHeight="1">
      <c r="G339" s="3"/>
    </row>
    <row r="340" ht="15.75" customHeight="1">
      <c r="G340" s="3"/>
    </row>
    <row r="341" ht="15.75" customHeight="1">
      <c r="G341" s="3"/>
    </row>
    <row r="342" ht="15.75" customHeight="1">
      <c r="G342" s="3"/>
    </row>
    <row r="343" ht="15.75" customHeight="1">
      <c r="G343" s="3"/>
    </row>
    <row r="344" ht="15.75" customHeight="1">
      <c r="G344" s="3"/>
    </row>
    <row r="345" ht="15.75" customHeight="1">
      <c r="G345" s="3"/>
    </row>
    <row r="346" ht="15.75" customHeight="1">
      <c r="G346" s="3"/>
    </row>
    <row r="347" ht="15.75" customHeight="1">
      <c r="G347" s="3"/>
    </row>
    <row r="348" ht="15.75" customHeight="1">
      <c r="G348" s="3"/>
    </row>
    <row r="349" ht="15.75" customHeight="1">
      <c r="G349" s="3"/>
    </row>
    <row r="350" ht="15.75" customHeight="1">
      <c r="G350" s="3"/>
    </row>
    <row r="351" ht="15.75" customHeight="1">
      <c r="G351" s="3"/>
    </row>
    <row r="352" ht="15.75" customHeight="1">
      <c r="G352" s="3"/>
    </row>
    <row r="353" ht="15.75" customHeight="1">
      <c r="G353" s="3"/>
    </row>
    <row r="354" ht="15.75" customHeight="1">
      <c r="G354" s="3"/>
    </row>
    <row r="355" ht="15.75" customHeight="1">
      <c r="G355" s="3"/>
    </row>
    <row r="356" ht="15.75" customHeight="1">
      <c r="G356" s="3"/>
    </row>
    <row r="357" ht="15.75" customHeight="1">
      <c r="G357" s="3"/>
    </row>
    <row r="358" ht="15.75" customHeight="1">
      <c r="G358" s="3"/>
    </row>
    <row r="359" ht="15.75" customHeight="1">
      <c r="G359" s="3"/>
    </row>
    <row r="360" ht="15.75" customHeight="1">
      <c r="G360" s="3"/>
    </row>
    <row r="361" ht="15.75" customHeight="1">
      <c r="G361" s="3"/>
    </row>
    <row r="362" ht="15.75" customHeight="1">
      <c r="G362" s="3"/>
    </row>
    <row r="363" ht="15.75" customHeight="1">
      <c r="G363" s="3"/>
    </row>
    <row r="364" ht="15.75" customHeight="1">
      <c r="G364" s="3"/>
    </row>
    <row r="365" ht="15.75" customHeight="1">
      <c r="G365" s="3"/>
    </row>
    <row r="366" ht="15.75" customHeight="1">
      <c r="G366" s="3"/>
    </row>
    <row r="367" ht="15.75" customHeight="1">
      <c r="G367" s="3"/>
    </row>
    <row r="368" ht="15.75" customHeight="1">
      <c r="G368" s="3"/>
    </row>
    <row r="369" ht="15.75" customHeight="1">
      <c r="G369" s="3"/>
    </row>
    <row r="370" ht="15.75" customHeight="1">
      <c r="G370" s="3"/>
    </row>
    <row r="371" ht="15.75" customHeight="1">
      <c r="G371" s="3"/>
    </row>
    <row r="372" ht="15.75" customHeight="1">
      <c r="G372" s="3"/>
    </row>
    <row r="373" ht="15.75" customHeight="1">
      <c r="G373" s="3"/>
    </row>
    <row r="374" ht="15.75" customHeight="1">
      <c r="G374" s="3"/>
    </row>
    <row r="375" ht="15.75" customHeight="1">
      <c r="G375" s="3"/>
    </row>
    <row r="376" ht="15.75" customHeight="1">
      <c r="G376" s="3"/>
    </row>
    <row r="377" ht="15.75" customHeight="1">
      <c r="G377" s="3"/>
    </row>
    <row r="378" ht="15.75" customHeight="1">
      <c r="G378" s="3"/>
    </row>
    <row r="379" ht="15.75" customHeight="1">
      <c r="G379" s="3"/>
    </row>
    <row r="380" ht="15.75" customHeight="1">
      <c r="G380" s="3"/>
    </row>
    <row r="381" ht="15.75" customHeight="1">
      <c r="G381" s="3"/>
    </row>
    <row r="382" ht="15.75" customHeight="1">
      <c r="G382" s="3"/>
    </row>
    <row r="383" ht="15.75" customHeight="1">
      <c r="G383" s="3"/>
    </row>
    <row r="384" ht="15.75" customHeight="1">
      <c r="G384" s="3"/>
    </row>
    <row r="385" ht="15.75" customHeight="1">
      <c r="G385" s="3"/>
    </row>
    <row r="386" ht="15.75" customHeight="1">
      <c r="G386" s="3"/>
    </row>
    <row r="387" ht="15.75" customHeight="1">
      <c r="G387" s="3"/>
    </row>
    <row r="388" ht="15.75" customHeight="1">
      <c r="G388" s="3"/>
    </row>
    <row r="389" ht="15.75" customHeight="1">
      <c r="G389" s="3"/>
    </row>
    <row r="390" ht="15.75" customHeight="1">
      <c r="G390" s="3"/>
    </row>
    <row r="391" ht="15.75" customHeight="1">
      <c r="G391" s="3"/>
    </row>
    <row r="392" ht="15.75" customHeight="1">
      <c r="G392" s="3"/>
    </row>
    <row r="393" ht="15.75" customHeight="1">
      <c r="G393" s="3"/>
    </row>
    <row r="394" ht="15.75" customHeight="1">
      <c r="G394" s="3"/>
    </row>
    <row r="395" ht="15.75" customHeight="1">
      <c r="G395" s="3"/>
    </row>
    <row r="396" ht="15.75" customHeight="1">
      <c r="G396" s="3"/>
    </row>
    <row r="397" ht="15.75" customHeight="1">
      <c r="G397" s="3"/>
    </row>
    <row r="398" ht="15.75" customHeight="1">
      <c r="G398" s="3"/>
    </row>
    <row r="399" ht="15.75" customHeight="1">
      <c r="G399" s="3"/>
    </row>
    <row r="400" ht="15.75" customHeight="1">
      <c r="G400" s="3"/>
    </row>
    <row r="401" ht="15.75" customHeight="1">
      <c r="G401" s="3"/>
    </row>
    <row r="402" ht="15.75" customHeight="1">
      <c r="G402" s="3"/>
    </row>
    <row r="403" ht="15.75" customHeight="1">
      <c r="G403" s="3"/>
    </row>
    <row r="404" ht="15.75" customHeight="1">
      <c r="G404" s="3"/>
    </row>
    <row r="405" ht="15.75" customHeight="1">
      <c r="G405" s="3"/>
    </row>
    <row r="406" ht="15.75" customHeight="1">
      <c r="G406" s="3"/>
    </row>
    <row r="407" ht="15.75" customHeight="1">
      <c r="G407" s="3"/>
    </row>
    <row r="408" ht="15.75" customHeight="1">
      <c r="G408" s="3"/>
    </row>
    <row r="409" ht="15.75" customHeight="1">
      <c r="G409" s="3"/>
    </row>
    <row r="410" ht="15.75" customHeight="1">
      <c r="G410" s="3"/>
    </row>
    <row r="411" ht="15.75" customHeight="1">
      <c r="G411" s="3"/>
    </row>
    <row r="412" ht="15.75" customHeight="1">
      <c r="G412" s="3"/>
    </row>
    <row r="413" ht="15.75" customHeight="1">
      <c r="G413" s="3"/>
    </row>
    <row r="414" ht="15.75" customHeight="1">
      <c r="G414" s="3"/>
    </row>
    <row r="415" ht="15.75" customHeight="1">
      <c r="G415" s="3"/>
    </row>
    <row r="416" ht="15.75" customHeight="1">
      <c r="G416" s="3"/>
    </row>
    <row r="417" ht="15.75" customHeight="1">
      <c r="G417" s="3"/>
    </row>
    <row r="418" ht="15.75" customHeight="1">
      <c r="G418" s="3"/>
    </row>
    <row r="419" ht="15.75" customHeight="1">
      <c r="G419" s="3"/>
    </row>
    <row r="420" ht="15.75" customHeight="1">
      <c r="G420" s="3"/>
    </row>
    <row r="421" ht="15.75" customHeight="1">
      <c r="G421" s="3"/>
    </row>
    <row r="422" ht="15.75" customHeight="1">
      <c r="G422" s="3"/>
    </row>
    <row r="423" ht="15.75" customHeight="1">
      <c r="G423" s="3"/>
    </row>
    <row r="424" ht="15.75" customHeight="1">
      <c r="G424" s="3"/>
    </row>
    <row r="425" ht="15.75" customHeight="1">
      <c r="G425" s="3"/>
    </row>
    <row r="426" ht="15.75" customHeight="1">
      <c r="G426" s="3"/>
    </row>
    <row r="427" ht="15.75" customHeight="1">
      <c r="G427" s="3"/>
    </row>
    <row r="428" ht="15.75" customHeight="1">
      <c r="G428" s="3"/>
    </row>
    <row r="429" ht="15.75" customHeight="1">
      <c r="G429" s="3"/>
    </row>
    <row r="430" ht="15.75" customHeight="1">
      <c r="G430" s="3"/>
    </row>
    <row r="431" ht="15.75" customHeight="1">
      <c r="G431" s="3"/>
    </row>
    <row r="432" ht="15.75" customHeight="1">
      <c r="G432" s="3"/>
    </row>
    <row r="433" ht="15.75" customHeight="1">
      <c r="G433" s="3"/>
    </row>
    <row r="434" ht="15.75" customHeight="1">
      <c r="G434" s="3"/>
    </row>
    <row r="435" ht="15.75" customHeight="1">
      <c r="G435" s="3"/>
    </row>
    <row r="436" ht="15.75" customHeight="1">
      <c r="G436" s="3"/>
    </row>
    <row r="437" ht="15.75" customHeight="1">
      <c r="G437" s="3"/>
    </row>
    <row r="438" ht="15.75" customHeight="1">
      <c r="G438" s="3"/>
    </row>
    <row r="439" ht="15.75" customHeight="1">
      <c r="G439" s="3"/>
    </row>
    <row r="440" ht="15.75" customHeight="1">
      <c r="G440" s="3"/>
    </row>
    <row r="441" ht="15.75" customHeight="1">
      <c r="G441" s="3"/>
    </row>
    <row r="442" ht="15.75" customHeight="1">
      <c r="G442" s="3"/>
    </row>
    <row r="443" ht="15.75" customHeight="1">
      <c r="G443" s="3"/>
    </row>
    <row r="444" ht="15.75" customHeight="1">
      <c r="G444" s="3"/>
    </row>
    <row r="445" ht="15.75" customHeight="1">
      <c r="G445" s="3"/>
    </row>
    <row r="446" ht="15.75" customHeight="1">
      <c r="G446" s="3"/>
    </row>
    <row r="447" ht="15.75" customHeight="1">
      <c r="G447" s="3"/>
    </row>
    <row r="448" ht="15.75" customHeight="1">
      <c r="G448" s="3"/>
    </row>
    <row r="449" ht="15.75" customHeight="1">
      <c r="G449" s="3"/>
    </row>
    <row r="450" ht="15.75" customHeight="1">
      <c r="G450" s="3"/>
    </row>
    <row r="451" ht="15.75" customHeight="1">
      <c r="G451" s="3"/>
    </row>
    <row r="452" ht="15.75" customHeight="1">
      <c r="G452" s="3"/>
    </row>
    <row r="453" ht="15.75" customHeight="1">
      <c r="G453" s="3"/>
    </row>
    <row r="454" ht="15.75" customHeight="1">
      <c r="G454" s="3"/>
    </row>
    <row r="455" ht="15.75" customHeight="1">
      <c r="G455" s="3"/>
    </row>
    <row r="456" ht="15.75" customHeight="1">
      <c r="G456" s="3"/>
    </row>
    <row r="457" ht="15.75" customHeight="1">
      <c r="G457" s="3"/>
    </row>
    <row r="458" ht="15.75" customHeight="1">
      <c r="G458" s="3"/>
    </row>
    <row r="459" ht="15.75" customHeight="1">
      <c r="G459" s="3"/>
    </row>
    <row r="460" ht="15.75" customHeight="1">
      <c r="G460" s="3"/>
    </row>
    <row r="461" ht="15.75" customHeight="1">
      <c r="G461" s="3"/>
    </row>
    <row r="462" ht="15.75" customHeight="1">
      <c r="G462" s="3"/>
    </row>
    <row r="463" ht="15.75" customHeight="1">
      <c r="G463" s="3"/>
    </row>
    <row r="464" ht="15.75" customHeight="1">
      <c r="G464" s="3"/>
    </row>
    <row r="465" ht="15.75" customHeight="1">
      <c r="G465" s="3"/>
    </row>
    <row r="466" ht="15.75" customHeight="1">
      <c r="G466" s="3"/>
    </row>
    <row r="467" ht="15.75" customHeight="1">
      <c r="G467" s="3"/>
    </row>
    <row r="468" ht="15.75" customHeight="1">
      <c r="G468" s="3"/>
    </row>
    <row r="469" ht="15.75" customHeight="1">
      <c r="G469" s="3"/>
    </row>
    <row r="470" ht="15.75" customHeight="1">
      <c r="G470" s="3"/>
    </row>
    <row r="471" ht="15.75" customHeight="1">
      <c r="G471" s="3"/>
    </row>
    <row r="472" ht="15.75" customHeight="1">
      <c r="G472" s="3"/>
    </row>
    <row r="473" ht="15.75" customHeight="1">
      <c r="G473" s="3"/>
    </row>
    <row r="474" ht="15.75" customHeight="1">
      <c r="G474" s="3"/>
    </row>
    <row r="475" ht="15.75" customHeight="1">
      <c r="G475" s="3"/>
    </row>
    <row r="476" ht="15.75" customHeight="1">
      <c r="G476" s="3"/>
    </row>
    <row r="477" ht="15.75" customHeight="1">
      <c r="G477" s="3"/>
    </row>
    <row r="478" ht="15.75" customHeight="1">
      <c r="G478" s="3"/>
    </row>
    <row r="479" ht="15.75" customHeight="1">
      <c r="G479" s="3"/>
    </row>
    <row r="480" ht="15.75" customHeight="1">
      <c r="G480" s="3"/>
    </row>
    <row r="481" ht="15.75" customHeight="1">
      <c r="G481" s="3"/>
    </row>
    <row r="482" ht="15.75" customHeight="1">
      <c r="G482" s="3"/>
    </row>
    <row r="483" ht="15.75" customHeight="1">
      <c r="G483" s="3"/>
    </row>
    <row r="484" ht="15.75" customHeight="1">
      <c r="G484" s="3"/>
    </row>
    <row r="485" ht="15.75" customHeight="1">
      <c r="G485" s="3"/>
    </row>
    <row r="486" ht="15.75" customHeight="1">
      <c r="G486" s="3"/>
    </row>
    <row r="487" ht="15.75" customHeight="1">
      <c r="G487" s="3"/>
    </row>
    <row r="488" ht="15.75" customHeight="1">
      <c r="G488" s="3"/>
    </row>
    <row r="489" ht="15.75" customHeight="1">
      <c r="G489" s="3"/>
    </row>
    <row r="490" ht="15.75" customHeight="1">
      <c r="G490" s="3"/>
    </row>
    <row r="491" ht="15.75" customHeight="1">
      <c r="G491" s="3"/>
    </row>
    <row r="492" ht="15.75" customHeight="1">
      <c r="G492" s="3"/>
    </row>
    <row r="493" ht="15.75" customHeight="1">
      <c r="G493" s="3"/>
    </row>
    <row r="494" ht="15.75" customHeight="1">
      <c r="G494" s="3"/>
    </row>
    <row r="495" ht="15.75" customHeight="1">
      <c r="G495" s="3"/>
    </row>
    <row r="496" ht="15.75" customHeight="1">
      <c r="G496" s="3"/>
    </row>
    <row r="497" ht="15.75" customHeight="1">
      <c r="G497" s="3"/>
    </row>
    <row r="498" ht="15.75" customHeight="1">
      <c r="G498" s="3"/>
    </row>
    <row r="499" ht="15.75" customHeight="1">
      <c r="G499" s="3"/>
    </row>
    <row r="500" ht="15.75" customHeight="1">
      <c r="G500" s="3"/>
    </row>
    <row r="501" ht="15.75" customHeight="1">
      <c r="G501" s="3"/>
    </row>
    <row r="502" ht="15.75" customHeight="1">
      <c r="G502" s="3"/>
    </row>
    <row r="503" ht="15.75" customHeight="1">
      <c r="G503" s="3"/>
    </row>
    <row r="504" ht="15.75" customHeight="1">
      <c r="G504" s="3"/>
    </row>
    <row r="505" ht="15.75" customHeight="1">
      <c r="G505" s="3"/>
    </row>
    <row r="506" ht="15.75" customHeight="1">
      <c r="G506" s="3"/>
    </row>
    <row r="507" ht="15.75" customHeight="1">
      <c r="G507" s="3"/>
    </row>
    <row r="508" ht="15.75" customHeight="1">
      <c r="G508" s="3"/>
    </row>
    <row r="509" ht="15.75" customHeight="1">
      <c r="G509" s="3"/>
    </row>
    <row r="510" ht="15.75" customHeight="1">
      <c r="G510" s="3"/>
    </row>
    <row r="511" ht="15.75" customHeight="1">
      <c r="G511" s="3"/>
    </row>
    <row r="512" ht="15.75" customHeight="1">
      <c r="G512" s="3"/>
    </row>
    <row r="513" ht="15.75" customHeight="1">
      <c r="G513" s="3"/>
    </row>
    <row r="514" ht="15.75" customHeight="1">
      <c r="G514" s="3"/>
    </row>
    <row r="515" ht="15.75" customHeight="1">
      <c r="G515" s="3"/>
    </row>
    <row r="516" ht="15.75" customHeight="1">
      <c r="G516" s="3"/>
    </row>
    <row r="517" ht="15.75" customHeight="1">
      <c r="G517" s="3"/>
    </row>
    <row r="518" ht="15.75" customHeight="1">
      <c r="G518" s="3"/>
    </row>
    <row r="519" ht="15.75" customHeight="1">
      <c r="G519" s="3"/>
    </row>
    <row r="520" ht="15.75" customHeight="1">
      <c r="G520" s="3"/>
    </row>
    <row r="521" ht="15.75" customHeight="1">
      <c r="G521" s="3"/>
    </row>
    <row r="522" ht="15.75" customHeight="1">
      <c r="G522" s="3"/>
    </row>
    <row r="523" ht="15.75" customHeight="1">
      <c r="G523" s="3"/>
    </row>
    <row r="524" ht="15.75" customHeight="1">
      <c r="G524" s="3"/>
    </row>
    <row r="525" ht="15.75" customHeight="1">
      <c r="G525" s="3"/>
    </row>
    <row r="526" ht="15.75" customHeight="1">
      <c r="G526" s="3"/>
    </row>
    <row r="527" ht="15.75" customHeight="1">
      <c r="G527" s="3"/>
    </row>
    <row r="528" ht="15.75" customHeight="1">
      <c r="G528" s="3"/>
    </row>
    <row r="529" ht="15.75" customHeight="1">
      <c r="G529" s="3"/>
    </row>
    <row r="530" ht="15.75" customHeight="1">
      <c r="G530" s="3"/>
    </row>
    <row r="531" ht="15.75" customHeight="1">
      <c r="G531" s="3"/>
    </row>
    <row r="532" ht="15.75" customHeight="1">
      <c r="G532" s="3"/>
    </row>
    <row r="533" ht="15.75" customHeight="1">
      <c r="G533" s="3"/>
    </row>
    <row r="534" ht="15.75" customHeight="1">
      <c r="G534" s="3"/>
    </row>
    <row r="535" ht="15.75" customHeight="1">
      <c r="G535" s="3"/>
    </row>
    <row r="536" ht="15.75" customHeight="1">
      <c r="G536" s="3"/>
    </row>
    <row r="537" ht="15.75" customHeight="1">
      <c r="G537" s="3"/>
    </row>
    <row r="538" ht="15.75" customHeight="1">
      <c r="G538" s="3"/>
    </row>
    <row r="539" ht="15.75" customHeight="1">
      <c r="G539" s="3"/>
    </row>
    <row r="540" ht="15.75" customHeight="1">
      <c r="G540" s="3"/>
    </row>
    <row r="541" ht="15.75" customHeight="1">
      <c r="G541" s="3"/>
    </row>
    <row r="542" ht="15.75" customHeight="1">
      <c r="G542" s="3"/>
    </row>
    <row r="543" ht="15.75" customHeight="1">
      <c r="G543" s="3"/>
    </row>
    <row r="544" ht="15.75" customHeight="1">
      <c r="G544" s="3"/>
    </row>
    <row r="545" ht="15.75" customHeight="1">
      <c r="G545" s="3"/>
    </row>
    <row r="546" ht="15.75" customHeight="1">
      <c r="G546" s="3"/>
    </row>
    <row r="547" ht="15.75" customHeight="1">
      <c r="G547" s="3"/>
    </row>
    <row r="548" ht="15.75" customHeight="1">
      <c r="G548" s="3"/>
    </row>
    <row r="549" ht="15.75" customHeight="1">
      <c r="G549" s="3"/>
    </row>
    <row r="550" ht="15.75" customHeight="1">
      <c r="G550" s="3"/>
    </row>
    <row r="551" ht="15.75" customHeight="1">
      <c r="G551" s="3"/>
    </row>
    <row r="552" ht="15.75" customHeight="1">
      <c r="G552" s="3"/>
    </row>
    <row r="553" ht="15.75" customHeight="1">
      <c r="G553" s="3"/>
    </row>
    <row r="554" ht="15.75" customHeight="1">
      <c r="G554" s="3"/>
    </row>
    <row r="555" ht="15.75" customHeight="1">
      <c r="G555" s="3"/>
    </row>
    <row r="556" ht="15.75" customHeight="1">
      <c r="G556" s="3"/>
    </row>
    <row r="557" ht="15.75" customHeight="1">
      <c r="G557" s="3"/>
    </row>
    <row r="558" ht="15.75" customHeight="1">
      <c r="G558" s="3"/>
    </row>
    <row r="559" ht="15.75" customHeight="1">
      <c r="G559" s="3"/>
    </row>
    <row r="560" ht="15.75" customHeight="1">
      <c r="G560" s="3"/>
    </row>
    <row r="561" ht="15.75" customHeight="1">
      <c r="G561" s="3"/>
    </row>
    <row r="562" ht="15.75" customHeight="1">
      <c r="G562" s="3"/>
    </row>
    <row r="563" ht="15.75" customHeight="1">
      <c r="G563" s="3"/>
    </row>
    <row r="564" ht="15.75" customHeight="1">
      <c r="G564" s="3"/>
    </row>
    <row r="565" ht="15.75" customHeight="1">
      <c r="G565" s="3"/>
    </row>
    <row r="566" ht="15.75" customHeight="1">
      <c r="G566" s="3"/>
    </row>
    <row r="567" ht="15.75" customHeight="1">
      <c r="G567" s="3"/>
    </row>
    <row r="568" ht="15.75" customHeight="1">
      <c r="G568" s="3"/>
    </row>
    <row r="569" ht="15.75" customHeight="1">
      <c r="G569" s="3"/>
    </row>
    <row r="570" ht="15.75" customHeight="1">
      <c r="G570" s="3"/>
    </row>
    <row r="571" ht="15.75" customHeight="1">
      <c r="G571" s="3"/>
    </row>
    <row r="572" ht="15.75" customHeight="1">
      <c r="G572" s="3"/>
    </row>
    <row r="573" ht="15.75" customHeight="1">
      <c r="G573" s="3"/>
    </row>
    <row r="574" ht="15.75" customHeight="1">
      <c r="G574" s="3"/>
    </row>
    <row r="575" ht="15.75" customHeight="1">
      <c r="G575" s="3"/>
    </row>
    <row r="576" ht="15.75" customHeight="1">
      <c r="G576" s="3"/>
    </row>
    <row r="577" ht="15.75" customHeight="1">
      <c r="G577" s="3"/>
    </row>
    <row r="578" ht="15.75" customHeight="1">
      <c r="G578" s="3"/>
    </row>
    <row r="579" ht="15.75" customHeight="1">
      <c r="G579" s="3"/>
    </row>
    <row r="580" ht="15.75" customHeight="1">
      <c r="G580" s="3"/>
    </row>
    <row r="581" ht="15.75" customHeight="1">
      <c r="G581" s="3"/>
    </row>
    <row r="582" ht="15.75" customHeight="1">
      <c r="G582" s="3"/>
    </row>
    <row r="583" ht="15.75" customHeight="1">
      <c r="G583" s="3"/>
    </row>
    <row r="584" ht="15.75" customHeight="1">
      <c r="G584" s="3"/>
    </row>
    <row r="585" ht="15.75" customHeight="1">
      <c r="G585" s="3"/>
    </row>
    <row r="586" ht="15.75" customHeight="1">
      <c r="G586" s="3"/>
    </row>
    <row r="587" ht="15.75" customHeight="1">
      <c r="G587" s="3"/>
    </row>
    <row r="588" ht="15.75" customHeight="1">
      <c r="G588" s="3"/>
    </row>
    <row r="589" ht="15.75" customHeight="1">
      <c r="G589" s="3"/>
    </row>
    <row r="590" ht="15.75" customHeight="1">
      <c r="G590" s="3"/>
    </row>
    <row r="591" ht="15.75" customHeight="1">
      <c r="G591" s="3"/>
    </row>
    <row r="592" ht="15.75" customHeight="1">
      <c r="G592" s="3"/>
    </row>
    <row r="593" ht="15.75" customHeight="1">
      <c r="G593" s="3"/>
    </row>
    <row r="594" ht="15.75" customHeight="1">
      <c r="G594" s="3"/>
    </row>
    <row r="595" ht="15.75" customHeight="1">
      <c r="G595" s="3"/>
    </row>
    <row r="596" ht="15.75" customHeight="1">
      <c r="G596" s="3"/>
    </row>
    <row r="597" ht="15.75" customHeight="1">
      <c r="G597" s="3"/>
    </row>
    <row r="598" ht="15.75" customHeight="1">
      <c r="G598" s="3"/>
    </row>
    <row r="599" ht="15.75" customHeight="1">
      <c r="G599" s="3"/>
    </row>
    <row r="600" ht="15.75" customHeight="1">
      <c r="G600" s="3"/>
    </row>
    <row r="601" ht="15.75" customHeight="1">
      <c r="G601" s="3"/>
    </row>
    <row r="602" ht="15.75" customHeight="1">
      <c r="G602" s="3"/>
    </row>
    <row r="603" ht="15.75" customHeight="1">
      <c r="G603" s="3"/>
    </row>
    <row r="604" ht="15.75" customHeight="1">
      <c r="G604" s="3"/>
    </row>
    <row r="605" ht="15.75" customHeight="1">
      <c r="G605" s="3"/>
    </row>
    <row r="606" ht="15.75" customHeight="1">
      <c r="G606" s="3"/>
    </row>
    <row r="607" ht="15.75" customHeight="1">
      <c r="G607" s="3"/>
    </row>
    <row r="608" ht="15.75" customHeight="1">
      <c r="G608" s="3"/>
    </row>
    <row r="609" ht="15.75" customHeight="1">
      <c r="G609" s="3"/>
    </row>
    <row r="610" ht="15.75" customHeight="1">
      <c r="G610" s="3"/>
    </row>
    <row r="611" ht="15.75" customHeight="1">
      <c r="G611" s="3"/>
    </row>
    <row r="612" ht="15.75" customHeight="1">
      <c r="G612" s="3"/>
    </row>
    <row r="613" ht="15.75" customHeight="1">
      <c r="G613" s="3"/>
    </row>
    <row r="614" ht="15.75" customHeight="1">
      <c r="G614" s="3"/>
    </row>
    <row r="615" ht="15.75" customHeight="1">
      <c r="G615" s="3"/>
    </row>
    <row r="616" ht="15.75" customHeight="1">
      <c r="G616" s="3"/>
    </row>
    <row r="617" ht="15.75" customHeight="1">
      <c r="G617" s="3"/>
    </row>
    <row r="618" ht="15.75" customHeight="1">
      <c r="G618" s="3"/>
    </row>
    <row r="619" ht="15.75" customHeight="1">
      <c r="G619" s="3"/>
    </row>
    <row r="620" ht="15.75" customHeight="1">
      <c r="G620" s="3"/>
    </row>
    <row r="621" ht="15.75" customHeight="1">
      <c r="G621" s="3"/>
    </row>
    <row r="622" ht="15.75" customHeight="1">
      <c r="G622" s="3"/>
    </row>
    <row r="623" ht="15.75" customHeight="1">
      <c r="G623" s="3"/>
    </row>
    <row r="624" ht="15.75" customHeight="1">
      <c r="G624" s="3"/>
    </row>
    <row r="625" ht="15.75" customHeight="1">
      <c r="G625" s="3"/>
    </row>
    <row r="626" ht="15.75" customHeight="1">
      <c r="G626" s="3"/>
    </row>
    <row r="627" ht="15.75" customHeight="1">
      <c r="G627" s="3"/>
    </row>
    <row r="628" ht="15.75" customHeight="1">
      <c r="G628" s="3"/>
    </row>
    <row r="629" ht="15.75" customHeight="1">
      <c r="G629" s="3"/>
    </row>
    <row r="630" ht="15.75" customHeight="1">
      <c r="G630" s="3"/>
    </row>
    <row r="631" ht="15.75" customHeight="1">
      <c r="G631" s="3"/>
    </row>
    <row r="632" ht="15.75" customHeight="1">
      <c r="G632" s="3"/>
    </row>
    <row r="633" ht="15.75" customHeight="1">
      <c r="G633" s="3"/>
    </row>
    <row r="634" ht="15.75" customHeight="1">
      <c r="G634" s="3"/>
    </row>
    <row r="635" ht="15.75" customHeight="1">
      <c r="G635" s="3"/>
    </row>
    <row r="636" ht="15.75" customHeight="1">
      <c r="G636" s="3"/>
    </row>
    <row r="637" ht="15.75" customHeight="1">
      <c r="G637" s="3"/>
    </row>
    <row r="638" ht="15.75" customHeight="1">
      <c r="G638" s="3"/>
    </row>
    <row r="639" ht="15.75" customHeight="1">
      <c r="G639" s="3"/>
    </row>
    <row r="640" ht="15.75" customHeight="1">
      <c r="G640" s="3"/>
    </row>
    <row r="641" ht="15.75" customHeight="1">
      <c r="G641" s="3"/>
    </row>
    <row r="642" ht="15.75" customHeight="1">
      <c r="G642" s="3"/>
    </row>
    <row r="643" ht="15.75" customHeight="1">
      <c r="G643" s="3"/>
    </row>
    <row r="644" ht="15.75" customHeight="1">
      <c r="G644" s="3"/>
    </row>
    <row r="645" ht="15.75" customHeight="1">
      <c r="G645" s="3"/>
    </row>
    <row r="646" ht="15.75" customHeight="1">
      <c r="G646" s="3"/>
    </row>
    <row r="647" ht="15.75" customHeight="1">
      <c r="G647" s="3"/>
    </row>
    <row r="648" ht="15.75" customHeight="1">
      <c r="G648" s="3"/>
    </row>
    <row r="649" ht="15.75" customHeight="1">
      <c r="G649" s="3"/>
    </row>
    <row r="650" ht="15.75" customHeight="1">
      <c r="G650" s="3"/>
    </row>
    <row r="651" ht="15.75" customHeight="1">
      <c r="G651" s="3"/>
    </row>
    <row r="652" ht="15.75" customHeight="1">
      <c r="G652" s="3"/>
    </row>
    <row r="653" ht="15.75" customHeight="1">
      <c r="G653" s="3"/>
    </row>
    <row r="654" ht="15.75" customHeight="1">
      <c r="G654" s="3"/>
    </row>
    <row r="655" ht="15.75" customHeight="1">
      <c r="G655" s="3"/>
    </row>
    <row r="656" ht="15.75" customHeight="1">
      <c r="G656" s="3"/>
    </row>
    <row r="657" ht="15.75" customHeight="1">
      <c r="G657" s="3"/>
    </row>
    <row r="658" ht="15.75" customHeight="1">
      <c r="G658" s="3"/>
    </row>
    <row r="659" ht="15.75" customHeight="1">
      <c r="G659" s="3"/>
    </row>
    <row r="660" ht="15.75" customHeight="1">
      <c r="G660" s="3"/>
    </row>
    <row r="661" ht="15.75" customHeight="1">
      <c r="G661" s="3"/>
    </row>
    <row r="662" ht="15.75" customHeight="1">
      <c r="G662" s="3"/>
    </row>
    <row r="663" ht="15.75" customHeight="1">
      <c r="G663" s="3"/>
    </row>
    <row r="664" ht="15.75" customHeight="1">
      <c r="G664" s="3"/>
    </row>
    <row r="665" ht="15.75" customHeight="1">
      <c r="G665" s="3"/>
    </row>
    <row r="666" ht="15.75" customHeight="1">
      <c r="G666" s="3"/>
    </row>
    <row r="667" ht="15.75" customHeight="1">
      <c r="G667" s="3"/>
    </row>
    <row r="668" ht="15.75" customHeight="1">
      <c r="G668" s="3"/>
    </row>
    <row r="669" ht="15.75" customHeight="1">
      <c r="G669" s="3"/>
    </row>
    <row r="670" ht="15.75" customHeight="1">
      <c r="G670" s="3"/>
    </row>
    <row r="671" ht="15.75" customHeight="1">
      <c r="G671" s="3"/>
    </row>
    <row r="672" ht="15.75" customHeight="1">
      <c r="G672" s="3"/>
    </row>
    <row r="673" ht="15.75" customHeight="1">
      <c r="G673" s="3"/>
    </row>
    <row r="674" ht="15.75" customHeight="1">
      <c r="G674" s="3"/>
    </row>
    <row r="675" ht="15.75" customHeight="1">
      <c r="G675" s="3"/>
    </row>
    <row r="676" ht="15.75" customHeight="1">
      <c r="G676" s="3"/>
    </row>
    <row r="677" ht="15.75" customHeight="1">
      <c r="G677" s="3"/>
    </row>
    <row r="678" ht="15.75" customHeight="1">
      <c r="G678" s="3"/>
    </row>
    <row r="679" ht="15.75" customHeight="1">
      <c r="G679" s="3"/>
    </row>
    <row r="680" ht="15.75" customHeight="1">
      <c r="G680" s="3"/>
    </row>
    <row r="681" ht="15.75" customHeight="1">
      <c r="G681" s="3"/>
    </row>
    <row r="682" ht="15.75" customHeight="1">
      <c r="G682" s="3"/>
    </row>
    <row r="683" ht="15.75" customHeight="1">
      <c r="G683" s="3"/>
    </row>
    <row r="684" ht="15.75" customHeight="1">
      <c r="G684" s="3"/>
    </row>
    <row r="685" ht="15.75" customHeight="1">
      <c r="G685" s="3"/>
    </row>
    <row r="686" ht="15.75" customHeight="1">
      <c r="G686" s="3"/>
    </row>
    <row r="687" ht="15.75" customHeight="1">
      <c r="G687" s="3"/>
    </row>
    <row r="688" ht="15.75" customHeight="1">
      <c r="G688" s="3"/>
    </row>
    <row r="689" ht="15.75" customHeight="1">
      <c r="G689" s="3"/>
    </row>
    <row r="690" ht="15.75" customHeight="1">
      <c r="G690" s="3"/>
    </row>
    <row r="691" ht="15.75" customHeight="1">
      <c r="G691" s="3"/>
    </row>
    <row r="692" ht="15.75" customHeight="1">
      <c r="G692" s="3"/>
    </row>
    <row r="693" ht="15.75" customHeight="1">
      <c r="G693" s="3"/>
    </row>
    <row r="694" ht="15.75" customHeight="1">
      <c r="G694" s="3"/>
    </row>
    <row r="695" ht="15.75" customHeight="1">
      <c r="G695" s="3"/>
    </row>
    <row r="696" ht="15.75" customHeight="1">
      <c r="G696" s="3"/>
    </row>
    <row r="697" ht="15.75" customHeight="1">
      <c r="G697" s="3"/>
    </row>
    <row r="698" ht="15.75" customHeight="1">
      <c r="G698" s="3"/>
    </row>
    <row r="699" ht="15.75" customHeight="1">
      <c r="G699" s="3"/>
    </row>
    <row r="700" ht="15.75" customHeight="1">
      <c r="G700" s="3"/>
    </row>
    <row r="701" ht="15.75" customHeight="1">
      <c r="G701" s="3"/>
    </row>
    <row r="702" ht="15.75" customHeight="1">
      <c r="G702" s="3"/>
    </row>
    <row r="703" ht="15.75" customHeight="1">
      <c r="G703" s="3"/>
    </row>
    <row r="704" ht="15.75" customHeight="1">
      <c r="G704" s="3"/>
    </row>
    <row r="705" ht="15.75" customHeight="1">
      <c r="G705" s="3"/>
    </row>
    <row r="706" ht="15.75" customHeight="1">
      <c r="G706" s="3"/>
    </row>
    <row r="707" ht="15.75" customHeight="1">
      <c r="G707" s="3"/>
    </row>
    <row r="708" ht="15.75" customHeight="1">
      <c r="G708" s="3"/>
    </row>
    <row r="709" ht="15.75" customHeight="1">
      <c r="G709" s="3"/>
    </row>
    <row r="710" ht="15.75" customHeight="1">
      <c r="G710" s="3"/>
    </row>
    <row r="711" ht="15.75" customHeight="1">
      <c r="G711" s="3"/>
    </row>
    <row r="712" ht="15.75" customHeight="1">
      <c r="G712" s="3"/>
    </row>
    <row r="713" ht="15.75" customHeight="1">
      <c r="G713" s="3"/>
    </row>
    <row r="714" ht="15.75" customHeight="1">
      <c r="G714" s="3"/>
    </row>
    <row r="715" ht="15.75" customHeight="1">
      <c r="G715" s="3"/>
    </row>
    <row r="716" ht="15.75" customHeight="1">
      <c r="G716" s="3"/>
    </row>
    <row r="717" ht="15.75" customHeight="1">
      <c r="G717" s="3"/>
    </row>
    <row r="718" ht="15.75" customHeight="1">
      <c r="G718" s="3"/>
    </row>
    <row r="719" ht="15.75" customHeight="1">
      <c r="G719" s="3"/>
    </row>
    <row r="720" ht="15.75" customHeight="1">
      <c r="G720" s="3"/>
    </row>
    <row r="721" ht="15.75" customHeight="1">
      <c r="G721" s="3"/>
    </row>
    <row r="722" ht="15.75" customHeight="1">
      <c r="G722" s="3"/>
    </row>
    <row r="723" ht="15.75" customHeight="1">
      <c r="G723" s="3"/>
    </row>
    <row r="724" ht="15.75" customHeight="1">
      <c r="G724" s="3"/>
    </row>
    <row r="725" ht="15.75" customHeight="1">
      <c r="G725" s="3"/>
    </row>
    <row r="726" ht="15.75" customHeight="1">
      <c r="G726" s="3"/>
    </row>
    <row r="727" ht="15.75" customHeight="1">
      <c r="G727" s="3"/>
    </row>
    <row r="728" ht="15.75" customHeight="1">
      <c r="G728" s="3"/>
    </row>
    <row r="729" ht="15.75" customHeight="1">
      <c r="G729" s="3"/>
    </row>
    <row r="730" ht="15.75" customHeight="1">
      <c r="G730" s="3"/>
    </row>
    <row r="731" ht="15.75" customHeight="1">
      <c r="G731" s="3"/>
    </row>
    <row r="732" ht="15.75" customHeight="1">
      <c r="G732" s="3"/>
    </row>
    <row r="733" ht="15.75" customHeight="1">
      <c r="G733" s="3"/>
    </row>
    <row r="734" ht="15.75" customHeight="1">
      <c r="G734" s="3"/>
    </row>
    <row r="735" ht="15.75" customHeight="1">
      <c r="G735" s="3"/>
    </row>
    <row r="736" ht="15.75" customHeight="1">
      <c r="G736" s="3"/>
    </row>
    <row r="737" ht="15.75" customHeight="1">
      <c r="G737" s="3"/>
    </row>
    <row r="738" ht="15.75" customHeight="1">
      <c r="G738" s="3"/>
    </row>
    <row r="739" ht="15.75" customHeight="1">
      <c r="G739" s="3"/>
    </row>
    <row r="740" ht="15.75" customHeight="1">
      <c r="G740" s="3"/>
    </row>
    <row r="741" ht="15.75" customHeight="1">
      <c r="G741" s="3"/>
    </row>
    <row r="742" ht="15.75" customHeight="1">
      <c r="G742" s="3"/>
    </row>
    <row r="743" ht="15.75" customHeight="1">
      <c r="G743" s="3"/>
    </row>
    <row r="744" ht="15.75" customHeight="1">
      <c r="G744" s="3"/>
    </row>
    <row r="745" ht="15.75" customHeight="1">
      <c r="G745" s="3"/>
    </row>
    <row r="746" ht="15.75" customHeight="1">
      <c r="G746" s="3"/>
    </row>
    <row r="747" ht="15.75" customHeight="1">
      <c r="G747" s="3"/>
    </row>
    <row r="748" ht="15.75" customHeight="1">
      <c r="G748" s="3"/>
    </row>
    <row r="749" ht="15.75" customHeight="1">
      <c r="G749" s="3"/>
    </row>
    <row r="750" ht="15.75" customHeight="1">
      <c r="G750" s="3"/>
    </row>
    <row r="751" ht="15.75" customHeight="1">
      <c r="G751" s="3"/>
    </row>
    <row r="752" ht="15.75" customHeight="1">
      <c r="G752" s="3"/>
    </row>
    <row r="753" ht="15.75" customHeight="1">
      <c r="G753" s="3"/>
    </row>
    <row r="754" ht="15.75" customHeight="1">
      <c r="G754" s="3"/>
    </row>
    <row r="755" ht="15.75" customHeight="1">
      <c r="G755" s="3"/>
    </row>
    <row r="756" ht="15.75" customHeight="1">
      <c r="G756" s="3"/>
    </row>
    <row r="757" ht="15.75" customHeight="1">
      <c r="G757" s="3"/>
    </row>
    <row r="758" ht="15.75" customHeight="1">
      <c r="G758" s="3"/>
    </row>
    <row r="759" ht="15.75" customHeight="1">
      <c r="G759" s="3"/>
    </row>
    <row r="760" ht="15.75" customHeight="1">
      <c r="G760" s="3"/>
    </row>
    <row r="761" ht="15.75" customHeight="1">
      <c r="G761" s="3"/>
    </row>
    <row r="762" ht="15.75" customHeight="1">
      <c r="G762" s="3"/>
    </row>
    <row r="763" ht="15.75" customHeight="1">
      <c r="G763" s="3"/>
    </row>
    <row r="764" ht="15.75" customHeight="1">
      <c r="G764" s="3"/>
    </row>
    <row r="765" ht="15.75" customHeight="1">
      <c r="G765" s="3"/>
    </row>
    <row r="766" ht="15.75" customHeight="1">
      <c r="G766" s="3"/>
    </row>
    <row r="767" ht="15.75" customHeight="1">
      <c r="G767" s="3"/>
    </row>
    <row r="768" ht="15.75" customHeight="1">
      <c r="G768" s="3"/>
    </row>
    <row r="769" ht="15.75" customHeight="1">
      <c r="G769" s="3"/>
    </row>
    <row r="770" ht="15.75" customHeight="1">
      <c r="G770" s="3"/>
    </row>
    <row r="771" ht="15.75" customHeight="1">
      <c r="G771" s="3"/>
    </row>
    <row r="772" ht="15.75" customHeight="1">
      <c r="G772" s="3"/>
    </row>
    <row r="773" ht="15.75" customHeight="1">
      <c r="G773" s="3"/>
    </row>
    <row r="774" ht="15.75" customHeight="1">
      <c r="G774" s="3"/>
    </row>
    <row r="775" ht="15.75" customHeight="1">
      <c r="G775" s="3"/>
    </row>
    <row r="776" ht="15.75" customHeight="1">
      <c r="G776" s="3"/>
    </row>
    <row r="777" ht="15.75" customHeight="1">
      <c r="G777" s="3"/>
    </row>
    <row r="778" ht="15.75" customHeight="1">
      <c r="G778" s="3"/>
    </row>
    <row r="779" ht="15.75" customHeight="1">
      <c r="G779" s="3"/>
    </row>
    <row r="780" ht="15.75" customHeight="1">
      <c r="G780" s="3"/>
    </row>
    <row r="781" ht="15.75" customHeight="1">
      <c r="G781" s="3"/>
    </row>
    <row r="782" ht="15.75" customHeight="1">
      <c r="G782" s="3"/>
    </row>
    <row r="783" ht="15.75" customHeight="1">
      <c r="G783" s="3"/>
    </row>
    <row r="784" ht="15.75" customHeight="1">
      <c r="G784" s="3"/>
    </row>
    <row r="785" ht="15.75" customHeight="1">
      <c r="G785" s="3"/>
    </row>
    <row r="786" ht="15.75" customHeight="1">
      <c r="G786" s="3"/>
    </row>
    <row r="787" ht="15.75" customHeight="1">
      <c r="G787" s="3"/>
    </row>
    <row r="788" ht="15.75" customHeight="1">
      <c r="G788" s="3"/>
    </row>
    <row r="789" ht="15.75" customHeight="1">
      <c r="G789" s="3"/>
    </row>
    <row r="790" ht="15.75" customHeight="1">
      <c r="G790" s="3"/>
    </row>
    <row r="791" ht="15.75" customHeight="1">
      <c r="G791" s="3"/>
    </row>
    <row r="792" ht="15.75" customHeight="1">
      <c r="G792" s="3"/>
    </row>
    <row r="793" ht="15.75" customHeight="1">
      <c r="G793" s="3"/>
    </row>
    <row r="794" ht="15.75" customHeight="1">
      <c r="G794" s="3"/>
    </row>
    <row r="795" ht="15.75" customHeight="1">
      <c r="G795" s="3"/>
    </row>
    <row r="796" ht="15.75" customHeight="1">
      <c r="G796" s="3"/>
    </row>
    <row r="797" ht="15.75" customHeight="1">
      <c r="G797" s="3"/>
    </row>
    <row r="798" ht="15.75" customHeight="1">
      <c r="G798" s="3"/>
    </row>
    <row r="799" ht="15.75" customHeight="1">
      <c r="G799" s="3"/>
    </row>
    <row r="800" ht="15.75" customHeight="1">
      <c r="G800" s="3"/>
    </row>
    <row r="801" ht="15.75" customHeight="1">
      <c r="G801" s="3"/>
    </row>
    <row r="802" ht="15.75" customHeight="1">
      <c r="G802" s="3"/>
    </row>
    <row r="803" ht="15.75" customHeight="1">
      <c r="G803" s="3"/>
    </row>
    <row r="804" ht="15.75" customHeight="1">
      <c r="G804" s="3"/>
    </row>
    <row r="805" ht="15.75" customHeight="1">
      <c r="G805" s="3"/>
    </row>
    <row r="806" ht="15.75" customHeight="1">
      <c r="G806" s="3"/>
    </row>
    <row r="807" ht="15.75" customHeight="1">
      <c r="G807" s="3"/>
    </row>
    <row r="808" ht="15.75" customHeight="1">
      <c r="G808" s="3"/>
    </row>
    <row r="809" ht="15.75" customHeight="1">
      <c r="G809" s="3"/>
    </row>
    <row r="810" ht="15.75" customHeight="1">
      <c r="G810" s="3"/>
    </row>
    <row r="811" ht="15.75" customHeight="1">
      <c r="G811" s="3"/>
    </row>
    <row r="812" ht="15.75" customHeight="1">
      <c r="G812" s="3"/>
    </row>
    <row r="813" ht="15.75" customHeight="1">
      <c r="G813" s="3"/>
    </row>
    <row r="814" ht="15.75" customHeight="1">
      <c r="G814" s="3"/>
    </row>
    <row r="815" ht="15.75" customHeight="1">
      <c r="G815" s="3"/>
    </row>
    <row r="816" ht="15.75" customHeight="1">
      <c r="G816" s="3"/>
    </row>
    <row r="817" ht="15.75" customHeight="1">
      <c r="G817" s="3"/>
    </row>
    <row r="818" ht="15.75" customHeight="1">
      <c r="G818" s="3"/>
    </row>
    <row r="819" ht="15.75" customHeight="1">
      <c r="G819" s="3"/>
    </row>
    <row r="820" ht="15.75" customHeight="1">
      <c r="G820" s="3"/>
    </row>
    <row r="821" ht="15.75" customHeight="1">
      <c r="G821" s="3"/>
    </row>
    <row r="822" ht="15.75" customHeight="1">
      <c r="G822" s="3"/>
    </row>
    <row r="823" ht="15.75" customHeight="1">
      <c r="G823" s="3"/>
    </row>
    <row r="824" ht="15.75" customHeight="1">
      <c r="G824" s="3"/>
    </row>
    <row r="825" ht="15.75" customHeight="1">
      <c r="G825" s="3"/>
    </row>
    <row r="826" ht="15.75" customHeight="1">
      <c r="G826" s="3"/>
    </row>
    <row r="827" ht="15.75" customHeight="1">
      <c r="G827" s="3"/>
    </row>
    <row r="828" ht="15.75" customHeight="1">
      <c r="G828" s="3"/>
    </row>
    <row r="829" ht="15.75" customHeight="1">
      <c r="G829" s="3"/>
    </row>
    <row r="830" ht="15.75" customHeight="1">
      <c r="G830" s="3"/>
    </row>
    <row r="831" ht="15.75" customHeight="1">
      <c r="G831" s="3"/>
    </row>
    <row r="832" ht="15.75" customHeight="1">
      <c r="G832" s="3"/>
    </row>
    <row r="833" ht="15.75" customHeight="1">
      <c r="G833" s="3"/>
    </row>
    <row r="834" ht="15.75" customHeight="1">
      <c r="G834" s="3"/>
    </row>
    <row r="835" ht="15.75" customHeight="1">
      <c r="G835" s="3"/>
    </row>
    <row r="836" ht="15.75" customHeight="1">
      <c r="G836" s="3"/>
    </row>
    <row r="837" ht="15.75" customHeight="1">
      <c r="G837" s="3"/>
    </row>
    <row r="838" ht="15.75" customHeight="1">
      <c r="G838" s="3"/>
    </row>
    <row r="839" ht="15.75" customHeight="1">
      <c r="G839" s="3"/>
    </row>
    <row r="840" ht="15.75" customHeight="1">
      <c r="G840" s="3"/>
    </row>
    <row r="841" ht="15.75" customHeight="1">
      <c r="G841" s="3"/>
    </row>
    <row r="842" ht="15.75" customHeight="1">
      <c r="G842" s="3"/>
    </row>
    <row r="843" ht="15.75" customHeight="1">
      <c r="G843" s="3"/>
    </row>
    <row r="844" ht="15.75" customHeight="1">
      <c r="G844" s="3"/>
    </row>
    <row r="845" ht="15.75" customHeight="1">
      <c r="G845" s="3"/>
    </row>
    <row r="846" ht="15.75" customHeight="1">
      <c r="G846" s="3"/>
    </row>
    <row r="847" ht="15.75" customHeight="1">
      <c r="G847" s="3"/>
    </row>
    <row r="848" ht="15.75" customHeight="1">
      <c r="G848" s="3"/>
    </row>
    <row r="849" ht="15.75" customHeight="1">
      <c r="G849" s="3"/>
    </row>
    <row r="850" ht="15.75" customHeight="1">
      <c r="G850" s="3"/>
    </row>
    <row r="851" ht="15.75" customHeight="1">
      <c r="G851" s="3"/>
    </row>
    <row r="852" ht="15.75" customHeight="1">
      <c r="G852" s="3"/>
    </row>
    <row r="853" ht="15.75" customHeight="1">
      <c r="G853" s="3"/>
    </row>
    <row r="854" ht="15.75" customHeight="1">
      <c r="G854" s="3"/>
    </row>
    <row r="855" ht="15.75" customHeight="1">
      <c r="G855" s="3"/>
    </row>
    <row r="856" ht="15.75" customHeight="1">
      <c r="G856" s="3"/>
    </row>
    <row r="857" ht="15.75" customHeight="1">
      <c r="G857" s="3"/>
    </row>
    <row r="858" ht="15.75" customHeight="1">
      <c r="G858" s="3"/>
    </row>
    <row r="859" ht="15.75" customHeight="1">
      <c r="G859" s="3"/>
    </row>
    <row r="860" ht="15.75" customHeight="1">
      <c r="G860" s="3"/>
    </row>
    <row r="861" ht="15.75" customHeight="1">
      <c r="G861" s="3"/>
    </row>
    <row r="862" ht="15.75" customHeight="1">
      <c r="G862" s="3"/>
    </row>
    <row r="863" ht="15.75" customHeight="1">
      <c r="G863" s="3"/>
    </row>
    <row r="864" ht="15.75" customHeight="1">
      <c r="G864" s="3"/>
    </row>
    <row r="865" ht="15.75" customHeight="1">
      <c r="G865" s="3"/>
    </row>
    <row r="866" ht="15.75" customHeight="1">
      <c r="G866" s="3"/>
    </row>
    <row r="867" ht="15.75" customHeight="1">
      <c r="G867" s="3"/>
    </row>
    <row r="868" ht="15.75" customHeight="1">
      <c r="G868" s="3"/>
    </row>
    <row r="869" ht="15.75" customHeight="1">
      <c r="G869" s="3"/>
    </row>
    <row r="870" ht="15.75" customHeight="1">
      <c r="G870" s="3"/>
    </row>
    <row r="871" ht="15.75" customHeight="1">
      <c r="G871" s="3"/>
    </row>
    <row r="872" ht="15.75" customHeight="1">
      <c r="G872" s="3"/>
    </row>
    <row r="873" ht="15.75" customHeight="1">
      <c r="G873" s="3"/>
    </row>
    <row r="874" ht="15.75" customHeight="1">
      <c r="G874" s="3"/>
    </row>
    <row r="875" ht="15.75" customHeight="1">
      <c r="G875" s="3"/>
    </row>
    <row r="876" ht="15.75" customHeight="1">
      <c r="G876" s="3"/>
    </row>
    <row r="877" ht="15.75" customHeight="1">
      <c r="G877" s="3"/>
    </row>
    <row r="878" ht="15.75" customHeight="1">
      <c r="G878" s="3"/>
    </row>
    <row r="879" ht="15.75" customHeight="1">
      <c r="G879" s="3"/>
    </row>
    <row r="880" ht="15.75" customHeight="1">
      <c r="G880" s="3"/>
    </row>
    <row r="881" ht="15.75" customHeight="1">
      <c r="G881" s="3"/>
    </row>
    <row r="882" ht="15.75" customHeight="1">
      <c r="G882" s="3"/>
    </row>
    <row r="883" ht="15.75" customHeight="1">
      <c r="G883" s="3"/>
    </row>
    <row r="884" ht="15.75" customHeight="1">
      <c r="G884" s="3"/>
    </row>
    <row r="885" ht="15.75" customHeight="1">
      <c r="G885" s="3"/>
    </row>
    <row r="886" ht="15.75" customHeight="1">
      <c r="G886" s="3"/>
    </row>
    <row r="887" ht="15.75" customHeight="1">
      <c r="G887" s="3"/>
    </row>
    <row r="888" ht="15.75" customHeight="1">
      <c r="G888" s="3"/>
    </row>
    <row r="889" ht="15.75" customHeight="1">
      <c r="G889" s="3"/>
    </row>
    <row r="890" ht="15.75" customHeight="1">
      <c r="G890" s="3"/>
    </row>
    <row r="891" ht="15.75" customHeight="1">
      <c r="G891" s="3"/>
    </row>
    <row r="892" ht="15.75" customHeight="1">
      <c r="G892" s="3"/>
    </row>
    <row r="893" ht="15.75" customHeight="1">
      <c r="G893" s="3"/>
    </row>
    <row r="894" ht="15.75" customHeight="1">
      <c r="G894" s="3"/>
    </row>
    <row r="895" ht="15.75" customHeight="1">
      <c r="G895" s="3"/>
    </row>
    <row r="896" ht="15.75" customHeight="1">
      <c r="G896" s="3"/>
    </row>
    <row r="897" ht="15.75" customHeight="1">
      <c r="G897" s="3"/>
    </row>
    <row r="898" ht="15.75" customHeight="1">
      <c r="G898" s="3"/>
    </row>
    <row r="899" ht="15.75" customHeight="1">
      <c r="G899" s="3"/>
    </row>
    <row r="900" ht="15.75" customHeight="1">
      <c r="G900" s="3"/>
    </row>
    <row r="901" ht="15.75" customHeight="1">
      <c r="G901" s="3"/>
    </row>
    <row r="902" ht="15.75" customHeight="1">
      <c r="G902" s="3"/>
    </row>
    <row r="903" ht="15.75" customHeight="1">
      <c r="G903" s="3"/>
    </row>
    <row r="904" ht="15.75" customHeight="1">
      <c r="G904" s="3"/>
    </row>
    <row r="905" ht="15.75" customHeight="1">
      <c r="G905" s="3"/>
    </row>
    <row r="906" ht="15.75" customHeight="1">
      <c r="G906" s="3"/>
    </row>
    <row r="907" ht="15.75" customHeight="1">
      <c r="G907" s="3"/>
    </row>
    <row r="908" ht="15.75" customHeight="1">
      <c r="G908" s="3"/>
    </row>
    <row r="909" ht="15.75" customHeight="1">
      <c r="G909" s="3"/>
    </row>
    <row r="910" ht="15.75" customHeight="1">
      <c r="G910" s="3"/>
    </row>
    <row r="911" ht="15.75" customHeight="1">
      <c r="G911" s="3"/>
    </row>
    <row r="912" ht="15.75" customHeight="1">
      <c r="G912" s="3"/>
    </row>
    <row r="913" ht="15.75" customHeight="1">
      <c r="G913" s="3"/>
    </row>
    <row r="914" ht="15.75" customHeight="1">
      <c r="G914" s="3"/>
    </row>
    <row r="915" ht="15.75" customHeight="1">
      <c r="G915" s="3"/>
    </row>
    <row r="916" ht="15.75" customHeight="1">
      <c r="G916" s="3"/>
    </row>
    <row r="917" ht="15.75" customHeight="1">
      <c r="G917" s="3"/>
    </row>
    <row r="918" ht="15.75" customHeight="1">
      <c r="G918" s="3"/>
    </row>
    <row r="919" ht="15.75" customHeight="1">
      <c r="G919" s="3"/>
    </row>
    <row r="920" ht="15.75" customHeight="1">
      <c r="G920" s="3"/>
    </row>
    <row r="921" ht="15.75" customHeight="1">
      <c r="G921" s="3"/>
    </row>
    <row r="922" ht="15.75" customHeight="1">
      <c r="G922" s="3"/>
    </row>
    <row r="923" ht="15.75" customHeight="1">
      <c r="G923" s="3"/>
    </row>
    <row r="924" ht="15.75" customHeight="1">
      <c r="G924" s="3"/>
    </row>
    <row r="925" ht="15.75" customHeight="1">
      <c r="G925" s="3"/>
    </row>
    <row r="926" ht="15.75" customHeight="1">
      <c r="G926" s="3"/>
    </row>
    <row r="927" ht="15.75" customHeight="1">
      <c r="G927" s="3"/>
    </row>
    <row r="928" ht="15.75" customHeight="1">
      <c r="G928" s="3"/>
    </row>
    <row r="929" ht="15.75" customHeight="1">
      <c r="G929" s="3"/>
    </row>
    <row r="930" ht="15.75" customHeight="1">
      <c r="G930" s="3"/>
    </row>
    <row r="931" ht="15.75" customHeight="1">
      <c r="G931" s="3"/>
    </row>
    <row r="932" ht="15.75" customHeight="1">
      <c r="G932" s="3"/>
    </row>
    <row r="933" ht="15.75" customHeight="1">
      <c r="G933" s="3"/>
    </row>
    <row r="934" ht="15.75" customHeight="1">
      <c r="G934" s="3"/>
    </row>
    <row r="935" ht="15.75" customHeight="1">
      <c r="G935" s="3"/>
    </row>
    <row r="936" ht="15.75" customHeight="1">
      <c r="G936" s="3"/>
    </row>
    <row r="937" ht="15.75" customHeight="1">
      <c r="G937" s="3"/>
    </row>
    <row r="938" ht="15.75" customHeight="1">
      <c r="G938" s="3"/>
    </row>
    <row r="939" ht="15.75" customHeight="1">
      <c r="G939" s="3"/>
    </row>
    <row r="940" ht="15.75" customHeight="1">
      <c r="G940" s="3"/>
    </row>
    <row r="941" ht="15.75" customHeight="1">
      <c r="G941" s="3"/>
    </row>
    <row r="942" ht="15.75" customHeight="1">
      <c r="G942" s="3"/>
    </row>
    <row r="943" ht="15.75" customHeight="1">
      <c r="G943" s="3"/>
    </row>
    <row r="944" ht="15.75" customHeight="1">
      <c r="G944" s="3"/>
    </row>
    <row r="945" ht="15.75" customHeight="1">
      <c r="G945" s="3"/>
    </row>
    <row r="946" ht="15.75" customHeight="1">
      <c r="G946" s="3"/>
    </row>
    <row r="947" ht="15.75" customHeight="1">
      <c r="G947" s="3"/>
    </row>
    <row r="948" ht="15.75" customHeight="1">
      <c r="G948" s="3"/>
    </row>
    <row r="949" ht="15.75" customHeight="1">
      <c r="G949" s="3"/>
    </row>
    <row r="950" ht="15.75" customHeight="1">
      <c r="G950" s="3"/>
    </row>
    <row r="951" ht="15.75" customHeight="1">
      <c r="G951" s="3"/>
    </row>
    <row r="952" ht="15.75" customHeight="1">
      <c r="G952" s="3"/>
    </row>
    <row r="953" ht="15.75" customHeight="1">
      <c r="G953" s="3"/>
    </row>
    <row r="954" ht="15.75" customHeight="1">
      <c r="G954" s="3"/>
    </row>
    <row r="955" ht="15.75" customHeight="1">
      <c r="G955" s="3"/>
    </row>
    <row r="956" ht="15.75" customHeight="1">
      <c r="G956" s="3"/>
    </row>
    <row r="957" ht="15.75" customHeight="1">
      <c r="G957" s="3"/>
    </row>
    <row r="958" ht="15.75" customHeight="1">
      <c r="G958" s="3"/>
    </row>
    <row r="959" ht="15.75" customHeight="1">
      <c r="G959" s="3"/>
    </row>
    <row r="960" ht="15.75" customHeight="1">
      <c r="G960" s="3"/>
    </row>
    <row r="961" ht="15.75" customHeight="1">
      <c r="G961" s="3"/>
    </row>
    <row r="962" ht="15.75" customHeight="1">
      <c r="G962" s="3"/>
    </row>
    <row r="963" ht="15.75" customHeight="1">
      <c r="G963" s="3"/>
    </row>
    <row r="964" ht="15.75" customHeight="1">
      <c r="G964" s="3"/>
    </row>
    <row r="965" ht="15.75" customHeight="1">
      <c r="G965" s="3"/>
    </row>
    <row r="966" ht="15.75" customHeight="1">
      <c r="G966" s="3"/>
    </row>
    <row r="967" ht="15.75" customHeight="1">
      <c r="G967" s="3"/>
    </row>
    <row r="968" ht="15.75" customHeight="1">
      <c r="G968" s="3"/>
    </row>
    <row r="969" ht="15.75" customHeight="1">
      <c r="G969" s="3"/>
    </row>
    <row r="970" ht="15.75" customHeight="1">
      <c r="G970" s="3"/>
    </row>
    <row r="971" ht="15.75" customHeight="1">
      <c r="G971" s="3"/>
    </row>
    <row r="972" ht="15.75" customHeight="1">
      <c r="G972" s="3"/>
    </row>
    <row r="973" ht="15.75" customHeight="1">
      <c r="G973" s="3"/>
    </row>
    <row r="974" ht="15.75" customHeight="1">
      <c r="G974" s="3"/>
    </row>
    <row r="975" ht="15.75" customHeight="1">
      <c r="G975" s="3"/>
    </row>
    <row r="976" ht="15.75" customHeight="1">
      <c r="G976" s="3"/>
    </row>
    <row r="977" ht="15.75" customHeight="1">
      <c r="G977" s="3"/>
    </row>
    <row r="978" ht="15.75" customHeight="1">
      <c r="G978" s="3"/>
    </row>
    <row r="979" ht="15.75" customHeight="1">
      <c r="G979" s="3"/>
    </row>
    <row r="980" ht="15.75" customHeight="1">
      <c r="G980" s="3"/>
    </row>
    <row r="981" ht="15.75" customHeight="1">
      <c r="G981" s="3"/>
    </row>
    <row r="982" ht="15.75" customHeight="1">
      <c r="G982" s="3"/>
    </row>
    <row r="983" ht="15.75" customHeight="1">
      <c r="G983" s="3"/>
    </row>
    <row r="984" ht="15.75" customHeight="1">
      <c r="G984" s="3"/>
    </row>
    <row r="985" ht="15.75" customHeight="1">
      <c r="G985" s="3"/>
    </row>
    <row r="986" ht="15.75" customHeight="1">
      <c r="G986" s="3"/>
    </row>
    <row r="987" ht="15.75" customHeight="1">
      <c r="G987" s="3"/>
    </row>
    <row r="988" ht="15.75" customHeight="1">
      <c r="G988" s="3"/>
    </row>
    <row r="989" ht="15.75" customHeight="1">
      <c r="G989" s="3"/>
    </row>
    <row r="990" ht="15.75" customHeight="1">
      <c r="G990" s="3"/>
    </row>
    <row r="991" ht="15.75" customHeight="1">
      <c r="G991" s="3"/>
    </row>
    <row r="992" ht="15.75" customHeight="1">
      <c r="G992" s="3"/>
    </row>
    <row r="993" ht="15.75" customHeight="1">
      <c r="G993" s="3"/>
    </row>
    <row r="994" ht="15.75" customHeight="1">
      <c r="G994" s="3"/>
    </row>
    <row r="995" ht="15.75" customHeight="1">
      <c r="G995" s="3"/>
    </row>
    <row r="996" ht="15.75" customHeight="1">
      <c r="G996" s="3"/>
    </row>
    <row r="997" ht="15.75" customHeight="1">
      <c r="G997" s="3"/>
    </row>
    <row r="998" ht="15.75" customHeight="1">
      <c r="G998" s="3"/>
    </row>
    <row r="999" ht="15.75" customHeight="1">
      <c r="G999" s="3"/>
    </row>
    <row r="1000" ht="15.75" customHeight="1">
      <c r="G1000" s="3"/>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29"/>
    <col customWidth="1" min="2" max="2" width="8.71"/>
    <col customWidth="1" min="3" max="3" width="16.43"/>
    <col customWidth="1" min="4" max="4" width="13.71"/>
    <col customWidth="1" min="5" max="7" width="8.71"/>
    <col customWidth="1" min="8" max="8" width="11.14"/>
    <col customWidth="1" min="9" max="9" width="8.71"/>
    <col customWidth="1" min="10" max="10" width="30.29"/>
    <col customWidth="1" min="11" max="25" width="8.71"/>
  </cols>
  <sheetData>
    <row r="1">
      <c r="A1" s="1" t="s">
        <v>52</v>
      </c>
    </row>
    <row r="3">
      <c r="C3" s="5" t="s">
        <v>53</v>
      </c>
      <c r="D3" s="5" t="s">
        <v>3</v>
      </c>
      <c r="E3" s="5" t="s">
        <v>54</v>
      </c>
      <c r="F3" s="5" t="s">
        <v>55</v>
      </c>
      <c r="G3" s="5" t="s">
        <v>56</v>
      </c>
      <c r="H3" s="5" t="s">
        <v>6</v>
      </c>
      <c r="I3" s="5" t="s">
        <v>7</v>
      </c>
      <c r="J3" s="5" t="s">
        <v>57</v>
      </c>
    </row>
    <row r="4">
      <c r="A4" s="5" t="s">
        <v>58</v>
      </c>
    </row>
    <row r="5">
      <c r="A5" s="2" t="s">
        <v>59</v>
      </c>
      <c r="C5" s="2" t="s">
        <v>60</v>
      </c>
      <c r="D5" s="2">
        <v>10.0</v>
      </c>
      <c r="E5" s="2">
        <v>1.0</v>
      </c>
      <c r="F5" s="2">
        <v>1.0</v>
      </c>
      <c r="G5" s="2">
        <v>1.0</v>
      </c>
      <c r="H5" s="11" t="s">
        <v>20</v>
      </c>
      <c r="I5" s="3">
        <v>1.25</v>
      </c>
    </row>
    <row r="6">
      <c r="A6" s="2" t="s">
        <v>61</v>
      </c>
      <c r="C6" s="2" t="s">
        <v>62</v>
      </c>
      <c r="D6" s="2">
        <v>9.0</v>
      </c>
      <c r="E6" s="2">
        <v>1.0</v>
      </c>
      <c r="F6" s="2">
        <v>1.0</v>
      </c>
      <c r="G6" s="2">
        <v>1.0</v>
      </c>
      <c r="H6" s="11" t="s">
        <v>20</v>
      </c>
      <c r="I6" s="7">
        <v>1.0</v>
      </c>
    </row>
    <row r="7">
      <c r="A7" s="2" t="s">
        <v>63</v>
      </c>
      <c r="C7" s="2" t="s">
        <v>60</v>
      </c>
      <c r="D7" s="2">
        <v>6.0</v>
      </c>
      <c r="E7" s="2">
        <v>1.0</v>
      </c>
      <c r="F7" s="2">
        <v>2.0</v>
      </c>
      <c r="G7" s="2">
        <v>1.0</v>
      </c>
      <c r="H7" s="2">
        <v>1.0</v>
      </c>
      <c r="I7" s="8">
        <v>2.5</v>
      </c>
    </row>
    <row r="8">
      <c r="A8" s="2" t="s">
        <v>64</v>
      </c>
      <c r="C8" s="2" t="s">
        <v>62</v>
      </c>
      <c r="D8" s="2">
        <v>6.0</v>
      </c>
      <c r="E8" s="2">
        <v>1.0</v>
      </c>
      <c r="F8" s="2">
        <v>2.0</v>
      </c>
      <c r="G8" s="2">
        <v>1.0</v>
      </c>
      <c r="H8" s="2">
        <v>1.0</v>
      </c>
      <c r="I8" s="7">
        <v>2.0</v>
      </c>
    </row>
    <row r="9">
      <c r="I9" s="3"/>
    </row>
    <row r="10">
      <c r="A10" s="5" t="s">
        <v>65</v>
      </c>
      <c r="I10" s="3"/>
    </row>
    <row r="11">
      <c r="A11" s="2" t="s">
        <v>66</v>
      </c>
      <c r="C11" s="2" t="s">
        <v>60</v>
      </c>
      <c r="D11" s="2">
        <v>6.0</v>
      </c>
      <c r="E11" s="2">
        <v>2.0</v>
      </c>
      <c r="F11" s="2">
        <v>2.0</v>
      </c>
      <c r="G11" s="2">
        <v>1.0</v>
      </c>
      <c r="H11" s="2">
        <v>2.0</v>
      </c>
      <c r="I11" s="7">
        <v>20.0</v>
      </c>
    </row>
    <row r="12">
      <c r="A12" s="2" t="s">
        <v>67</v>
      </c>
      <c r="C12" s="2" t="s">
        <v>68</v>
      </c>
      <c r="D12" s="2">
        <v>3.0</v>
      </c>
      <c r="E12" s="2">
        <v>2.0</v>
      </c>
      <c r="F12" s="2">
        <v>2.0</v>
      </c>
      <c r="G12" s="2">
        <v>1.0</v>
      </c>
      <c r="H12" s="2">
        <v>3.0</v>
      </c>
      <c r="I12" s="12">
        <v>25.0</v>
      </c>
      <c r="J12" s="2" t="s">
        <v>69</v>
      </c>
    </row>
    <row r="13">
      <c r="A13" s="2" t="s">
        <v>70</v>
      </c>
      <c r="C13" s="2" t="s">
        <v>60</v>
      </c>
      <c r="D13" s="2">
        <v>3.0</v>
      </c>
      <c r="E13" s="2">
        <v>3.0</v>
      </c>
      <c r="F13" s="2">
        <v>3.0</v>
      </c>
      <c r="G13" s="4">
        <v>3.0</v>
      </c>
      <c r="H13" s="2">
        <v>2.0</v>
      </c>
      <c r="I13" s="12">
        <v>50.0</v>
      </c>
    </row>
    <row r="14">
      <c r="I14" s="3"/>
    </row>
    <row r="15">
      <c r="A15" s="5" t="s">
        <v>71</v>
      </c>
      <c r="I15" s="3"/>
    </row>
    <row r="16">
      <c r="A16" s="2" t="s">
        <v>72</v>
      </c>
      <c r="C16" s="2" t="s">
        <v>73</v>
      </c>
      <c r="D16" s="11" t="s">
        <v>45</v>
      </c>
      <c r="E16" s="2">
        <v>4.0</v>
      </c>
      <c r="F16" s="2">
        <v>4.0</v>
      </c>
      <c r="G16" s="2">
        <v>5.0</v>
      </c>
      <c r="H16" s="2">
        <v>3.0</v>
      </c>
      <c r="I16" s="12">
        <v>100.0</v>
      </c>
      <c r="J16" s="2" t="s">
        <v>74</v>
      </c>
    </row>
    <row r="17">
      <c r="A17" s="2" t="s">
        <v>75</v>
      </c>
      <c r="C17" s="2" t="s">
        <v>73</v>
      </c>
      <c r="D17" s="11" t="s">
        <v>45</v>
      </c>
      <c r="E17" s="2">
        <v>5.0</v>
      </c>
      <c r="F17" s="2">
        <v>6.0</v>
      </c>
      <c r="G17" s="2">
        <v>5.0</v>
      </c>
      <c r="H17" s="2">
        <v>4.0</v>
      </c>
      <c r="I17" s="12">
        <v>200.0</v>
      </c>
      <c r="J17" s="2" t="s">
        <v>74</v>
      </c>
    </row>
    <row r="18">
      <c r="D18" s="11"/>
      <c r="I18" s="3"/>
    </row>
    <row r="19">
      <c r="A19" s="5" t="s">
        <v>76</v>
      </c>
      <c r="D19" s="11"/>
      <c r="I19" s="3"/>
    </row>
    <row r="20">
      <c r="A20" s="2" t="s">
        <v>77</v>
      </c>
      <c r="C20" s="2" t="s">
        <v>60</v>
      </c>
      <c r="D20" s="11" t="s">
        <v>45</v>
      </c>
      <c r="E20" s="2">
        <v>1.0</v>
      </c>
      <c r="F20" s="2">
        <v>0.0</v>
      </c>
      <c r="G20" s="2">
        <v>0.0</v>
      </c>
      <c r="H20" s="2">
        <v>0.25</v>
      </c>
      <c r="I20" s="3">
        <v>0.75</v>
      </c>
    </row>
    <row r="21" ht="15.75" customHeight="1">
      <c r="A21" s="2" t="s">
        <v>78</v>
      </c>
      <c r="C21" s="2" t="s">
        <v>73</v>
      </c>
      <c r="D21" s="11" t="s">
        <v>45</v>
      </c>
      <c r="E21" s="2">
        <v>1.0</v>
      </c>
      <c r="F21" s="2">
        <v>1.0</v>
      </c>
      <c r="G21" s="2">
        <v>1.0</v>
      </c>
      <c r="H21" s="2">
        <v>1.0</v>
      </c>
      <c r="I21" s="7">
        <v>1.0</v>
      </c>
    </row>
    <row r="22" ht="15.75" customHeight="1">
      <c r="A22" s="2" t="s">
        <v>79</v>
      </c>
      <c r="C22" s="2" t="s">
        <v>73</v>
      </c>
      <c r="D22" s="11" t="s">
        <v>45</v>
      </c>
      <c r="E22" s="2">
        <v>2.0</v>
      </c>
      <c r="F22" s="2">
        <v>2.0</v>
      </c>
      <c r="G22" s="2">
        <v>1.0</v>
      </c>
      <c r="H22" s="2">
        <v>1.25</v>
      </c>
      <c r="I22" s="7">
        <v>2.0</v>
      </c>
    </row>
    <row r="23" ht="15.75" customHeight="1">
      <c r="A23" s="2" t="s">
        <v>80</v>
      </c>
      <c r="C23" s="2" t="s">
        <v>68</v>
      </c>
      <c r="D23" s="11" t="s">
        <v>45</v>
      </c>
      <c r="E23" s="2">
        <v>2.0</v>
      </c>
      <c r="F23" s="4">
        <v>2.0</v>
      </c>
      <c r="G23" s="2">
        <v>2.0</v>
      </c>
      <c r="H23" s="2">
        <v>2.0</v>
      </c>
      <c r="I23" s="3">
        <v>1.75</v>
      </c>
    </row>
    <row r="24" ht="15.75" customHeight="1">
      <c r="A24" s="2" t="s">
        <v>81</v>
      </c>
      <c r="C24" s="2" t="s">
        <v>68</v>
      </c>
      <c r="D24" s="11" t="s">
        <v>45</v>
      </c>
      <c r="E24" s="2">
        <v>3.0</v>
      </c>
      <c r="F24" s="2">
        <v>3.0</v>
      </c>
      <c r="G24" s="2">
        <v>2.0</v>
      </c>
      <c r="H24" s="2">
        <v>2.25</v>
      </c>
      <c r="I24" s="7">
        <v>4.0</v>
      </c>
    </row>
    <row r="25" ht="15.75" customHeight="1">
      <c r="D25" s="11"/>
      <c r="I25" s="3"/>
    </row>
    <row r="26" ht="15.75" customHeight="1">
      <c r="A26" s="5" t="s">
        <v>82</v>
      </c>
      <c r="D26" s="11"/>
      <c r="I26" s="3"/>
    </row>
    <row r="27" ht="15.75" customHeight="1">
      <c r="A27" s="2" t="s">
        <v>83</v>
      </c>
      <c r="C27" s="2" t="s">
        <v>84</v>
      </c>
      <c r="D27" s="11" t="s">
        <v>45</v>
      </c>
      <c r="E27" s="2">
        <v>1.0</v>
      </c>
      <c r="F27" s="2">
        <v>1.0</v>
      </c>
      <c r="G27" s="2">
        <v>1.0</v>
      </c>
      <c r="H27" s="11" t="s">
        <v>20</v>
      </c>
      <c r="I27" s="8">
        <v>0.1</v>
      </c>
    </row>
    <row r="28" ht="15.75" customHeight="1">
      <c r="A28" s="2" t="s">
        <v>85</v>
      </c>
      <c r="C28" s="2" t="s">
        <v>84</v>
      </c>
      <c r="D28" s="11" t="s">
        <v>45</v>
      </c>
      <c r="E28" s="2">
        <v>2.0</v>
      </c>
      <c r="F28" s="2">
        <v>2.0</v>
      </c>
      <c r="G28" s="2">
        <v>1.0</v>
      </c>
      <c r="H28" s="2">
        <v>0.25</v>
      </c>
      <c r="I28" s="7">
        <v>2.0</v>
      </c>
    </row>
    <row r="29" ht="15.75" customHeight="1">
      <c r="A29" s="2" t="s">
        <v>86</v>
      </c>
      <c r="C29" s="2" t="s">
        <v>84</v>
      </c>
      <c r="D29" s="11" t="s">
        <v>45</v>
      </c>
      <c r="E29" s="2">
        <v>3.0</v>
      </c>
      <c r="F29" s="2">
        <v>3.0</v>
      </c>
      <c r="G29" s="2">
        <v>2.0</v>
      </c>
      <c r="H29" s="2">
        <v>0.5</v>
      </c>
      <c r="I29" s="7">
        <v>3.0</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8.43"/>
    <col customWidth="1" min="3" max="3" width="13.71"/>
    <col customWidth="1" min="4" max="4" width="11.14"/>
    <col customWidth="1" min="5" max="5" width="25.14"/>
    <col customWidth="1" min="6" max="6" width="91.71"/>
    <col customWidth="1" min="7" max="25" width="8.71"/>
  </cols>
  <sheetData>
    <row r="1">
      <c r="A1" s="1" t="s">
        <v>87</v>
      </c>
      <c r="C1" s="13"/>
      <c r="D1" s="13"/>
    </row>
    <row r="2">
      <c r="A2" s="5"/>
      <c r="C2" s="13"/>
      <c r="D2" s="13"/>
    </row>
    <row r="3">
      <c r="A3" s="5"/>
      <c r="C3" s="14" t="s">
        <v>3</v>
      </c>
      <c r="D3" s="14" t="s">
        <v>6</v>
      </c>
      <c r="E3" s="5" t="s">
        <v>7</v>
      </c>
      <c r="F3" s="5" t="s">
        <v>57</v>
      </c>
    </row>
    <row r="4">
      <c r="A4" s="5" t="s">
        <v>88</v>
      </c>
      <c r="C4" s="13"/>
      <c r="D4" s="13"/>
    </row>
    <row r="5">
      <c r="A5" s="2" t="s">
        <v>89</v>
      </c>
      <c r="C5" s="13">
        <v>3.0</v>
      </c>
      <c r="D5" s="15">
        <v>2.0</v>
      </c>
      <c r="E5" s="13">
        <v>0.6</v>
      </c>
    </row>
    <row r="6">
      <c r="A6" s="2" t="s">
        <v>90</v>
      </c>
      <c r="C6" s="11" t="s">
        <v>20</v>
      </c>
      <c r="D6" s="13">
        <v>0.5</v>
      </c>
      <c r="E6" s="13">
        <v>0.25</v>
      </c>
    </row>
    <row r="7">
      <c r="A7" s="2" t="s">
        <v>91</v>
      </c>
      <c r="C7" s="15">
        <v>2.0</v>
      </c>
      <c r="D7" s="13">
        <v>1.0</v>
      </c>
      <c r="E7" s="13">
        <v>0.25</v>
      </c>
    </row>
    <row r="8">
      <c r="A8" s="2" t="s">
        <v>92</v>
      </c>
      <c r="C8" s="15">
        <v>4.0</v>
      </c>
      <c r="D8" s="15">
        <v>1.5</v>
      </c>
      <c r="E8" s="13">
        <v>0.25</v>
      </c>
    </row>
    <row r="9" ht="15.75" customHeight="1">
      <c r="A9" s="4" t="s">
        <v>93</v>
      </c>
      <c r="C9" s="15">
        <v>6.0</v>
      </c>
      <c r="D9" s="15">
        <v>0.25</v>
      </c>
      <c r="E9" s="15">
        <v>0.15</v>
      </c>
    </row>
    <row r="10" ht="15.75" customHeight="1">
      <c r="A10" s="4" t="s">
        <v>94</v>
      </c>
      <c r="C10" s="15">
        <v>5.0</v>
      </c>
      <c r="D10" s="15">
        <v>0.5</v>
      </c>
      <c r="E10" s="15">
        <v>0.1</v>
      </c>
    </row>
    <row r="11" ht="15.75" customHeight="1">
      <c r="A11" s="4" t="s">
        <v>95</v>
      </c>
      <c r="C11" s="15" t="s">
        <v>20</v>
      </c>
      <c r="D11" s="15">
        <v>4.0</v>
      </c>
      <c r="E11" s="15">
        <v>0.1</v>
      </c>
    </row>
    <row r="12">
      <c r="A12" s="2" t="s">
        <v>96</v>
      </c>
      <c r="C12" s="15" t="s">
        <v>20</v>
      </c>
      <c r="D12" s="15">
        <v>1.0</v>
      </c>
      <c r="E12" s="13">
        <v>0.5</v>
      </c>
      <c r="F12" s="2" t="s">
        <v>97</v>
      </c>
    </row>
    <row r="13" ht="15.75" customHeight="1">
      <c r="A13" s="4" t="s">
        <v>98</v>
      </c>
      <c r="C13" s="15">
        <v>5.0</v>
      </c>
      <c r="D13" s="15">
        <v>0.1</v>
      </c>
      <c r="E13" s="15">
        <v>0.05</v>
      </c>
    </row>
    <row r="14" ht="15.75" customHeight="1">
      <c r="A14" s="4" t="s">
        <v>99</v>
      </c>
      <c r="C14" s="15">
        <v>2.0</v>
      </c>
      <c r="D14" s="15">
        <v>0.25</v>
      </c>
      <c r="E14" s="15">
        <v>0.4</v>
      </c>
    </row>
    <row r="15">
      <c r="A15" s="4" t="s">
        <v>100</v>
      </c>
      <c r="C15" s="15">
        <v>4.0</v>
      </c>
      <c r="D15" s="15">
        <v>0.1</v>
      </c>
      <c r="E15" s="15">
        <v>0.1</v>
      </c>
    </row>
    <row r="16">
      <c r="A16" s="4" t="s">
        <v>101</v>
      </c>
      <c r="C16" s="15">
        <v>8.0</v>
      </c>
      <c r="D16" s="15" t="s">
        <v>20</v>
      </c>
      <c r="E16" s="15">
        <v>0.01</v>
      </c>
    </row>
    <row r="17" ht="15.75" customHeight="1">
      <c r="A17" s="4" t="s">
        <v>102</v>
      </c>
      <c r="C17" s="15">
        <v>5.0</v>
      </c>
      <c r="D17" s="15" t="s">
        <v>20</v>
      </c>
      <c r="E17" s="15">
        <v>0.1</v>
      </c>
    </row>
    <row r="18">
      <c r="A18" s="4" t="s">
        <v>103</v>
      </c>
      <c r="C18" s="15">
        <v>3.0</v>
      </c>
      <c r="D18" s="15">
        <v>0.2</v>
      </c>
      <c r="E18" s="15">
        <v>0.15</v>
      </c>
    </row>
    <row r="19" ht="15.75" customHeight="1">
      <c r="A19" s="4" t="s">
        <v>104</v>
      </c>
      <c r="C19" s="15">
        <v>9.0</v>
      </c>
      <c r="D19" s="15" t="s">
        <v>20</v>
      </c>
      <c r="E19" s="15">
        <v>0.05</v>
      </c>
    </row>
    <row r="20" ht="15.75" customHeight="1">
      <c r="A20" s="4" t="s">
        <v>105</v>
      </c>
      <c r="C20" s="15">
        <v>9.0</v>
      </c>
      <c r="D20" s="15" t="s">
        <v>20</v>
      </c>
      <c r="E20" s="15">
        <v>2.0</v>
      </c>
    </row>
    <row r="21" ht="15.75" customHeight="1">
      <c r="A21" s="4" t="s">
        <v>106</v>
      </c>
      <c r="C21" s="15">
        <v>9.0</v>
      </c>
      <c r="D21" s="15" t="s">
        <v>20</v>
      </c>
      <c r="E21" s="15">
        <v>0.1</v>
      </c>
    </row>
    <row r="22" ht="15.75" customHeight="1">
      <c r="A22" s="4" t="s">
        <v>107</v>
      </c>
      <c r="C22" s="15">
        <v>9.0</v>
      </c>
      <c r="D22" s="15" t="s">
        <v>20</v>
      </c>
      <c r="E22" s="15">
        <v>0.5</v>
      </c>
    </row>
    <row r="23" ht="15.75" customHeight="1">
      <c r="A23" s="4" t="s">
        <v>108</v>
      </c>
      <c r="C23" s="15" t="s">
        <v>20</v>
      </c>
      <c r="D23" s="15">
        <v>1.0</v>
      </c>
      <c r="E23" s="15">
        <v>0.25</v>
      </c>
      <c r="F23" s="4" t="s">
        <v>109</v>
      </c>
    </row>
    <row r="24">
      <c r="A24" s="4" t="s">
        <v>110</v>
      </c>
      <c r="C24" s="15" t="s">
        <v>20</v>
      </c>
      <c r="D24" s="16">
        <v>5.0</v>
      </c>
      <c r="E24" s="15">
        <v>0.1</v>
      </c>
      <c r="F24" s="4" t="s">
        <v>111</v>
      </c>
    </row>
    <row r="25">
      <c r="A25" s="4" t="s">
        <v>112</v>
      </c>
      <c r="C25" s="15" t="s">
        <v>20</v>
      </c>
      <c r="D25" s="16">
        <v>5.0</v>
      </c>
      <c r="E25" s="15">
        <v>0.02</v>
      </c>
      <c r="F25" s="4" t="s">
        <v>111</v>
      </c>
    </row>
    <row r="26">
      <c r="A26" s="2" t="s">
        <v>113</v>
      </c>
      <c r="C26" s="13">
        <v>5.0</v>
      </c>
      <c r="D26" s="16" t="s">
        <v>20</v>
      </c>
      <c r="E26" s="13">
        <v>0.1</v>
      </c>
      <c r="F26" s="4" t="s">
        <v>114</v>
      </c>
    </row>
    <row r="27">
      <c r="A27" s="2" t="s">
        <v>115</v>
      </c>
      <c r="C27" s="13">
        <v>3.0</v>
      </c>
      <c r="D27" s="15">
        <v>0.25</v>
      </c>
      <c r="E27" s="13">
        <v>0.1</v>
      </c>
      <c r="F27" s="4" t="s">
        <v>109</v>
      </c>
    </row>
    <row r="28">
      <c r="A28" s="2" t="s">
        <v>116</v>
      </c>
      <c r="C28" s="13">
        <v>6.0</v>
      </c>
      <c r="D28" s="11" t="s">
        <v>20</v>
      </c>
      <c r="E28" s="13">
        <v>0.025</v>
      </c>
      <c r="F28" s="4" t="s">
        <v>117</v>
      </c>
    </row>
    <row r="29">
      <c r="A29" s="2" t="s">
        <v>118</v>
      </c>
      <c r="C29" s="13">
        <v>3.0</v>
      </c>
      <c r="D29" s="15">
        <v>0.2</v>
      </c>
      <c r="E29" s="13">
        <v>0.05</v>
      </c>
    </row>
    <row r="30">
      <c r="A30" s="4" t="s">
        <v>119</v>
      </c>
      <c r="C30" s="15">
        <v>4.0</v>
      </c>
      <c r="D30" s="11" t="s">
        <v>20</v>
      </c>
      <c r="E30" s="15">
        <v>0.03</v>
      </c>
      <c r="F30" s="4" t="s">
        <v>120</v>
      </c>
    </row>
    <row r="31">
      <c r="A31" s="4" t="s">
        <v>121</v>
      </c>
      <c r="C31" s="15">
        <v>6.0</v>
      </c>
      <c r="D31" s="11" t="s">
        <v>20</v>
      </c>
      <c r="E31" s="15">
        <v>0.02</v>
      </c>
      <c r="F31" s="4" t="s">
        <v>122</v>
      </c>
    </row>
    <row r="32" ht="15.75" customHeight="1">
      <c r="A32" s="4" t="s">
        <v>123</v>
      </c>
      <c r="C32" s="15" t="s">
        <v>20</v>
      </c>
      <c r="D32" s="15">
        <v>2.0</v>
      </c>
      <c r="E32" s="15">
        <v>1.0</v>
      </c>
      <c r="F32" s="4" t="s">
        <v>124</v>
      </c>
    </row>
    <row r="33">
      <c r="A33" s="4" t="s">
        <v>125</v>
      </c>
      <c r="C33" s="15" t="s">
        <v>20</v>
      </c>
      <c r="D33" s="15">
        <v>5.0</v>
      </c>
      <c r="E33" s="15">
        <v>5.0</v>
      </c>
      <c r="F33" s="4" t="s">
        <v>126</v>
      </c>
    </row>
    <row r="34">
      <c r="A34" s="4" t="s">
        <v>127</v>
      </c>
      <c r="C34" s="15">
        <v>2.0</v>
      </c>
      <c r="D34" s="15">
        <v>1.0</v>
      </c>
      <c r="E34" s="15">
        <v>0.3</v>
      </c>
      <c r="F34" s="4" t="s">
        <v>128</v>
      </c>
    </row>
    <row r="35">
      <c r="A35" s="4" t="s">
        <v>129</v>
      </c>
      <c r="C35" s="15" t="s">
        <v>20</v>
      </c>
      <c r="D35" s="15" t="s">
        <v>20</v>
      </c>
      <c r="E35" s="15">
        <v>0.5</v>
      </c>
    </row>
    <row r="36">
      <c r="A36" s="4" t="s">
        <v>130</v>
      </c>
      <c r="C36" s="15" t="s">
        <v>20</v>
      </c>
      <c r="D36" s="15" t="s">
        <v>20</v>
      </c>
      <c r="E36" s="15" t="s">
        <v>131</v>
      </c>
    </row>
    <row r="37">
      <c r="A37" s="2" t="s">
        <v>132</v>
      </c>
      <c r="C37" s="13">
        <v>8.0</v>
      </c>
      <c r="D37" s="15">
        <v>0.2</v>
      </c>
      <c r="E37" s="15">
        <v>3.0</v>
      </c>
      <c r="F37" s="4" t="s">
        <v>133</v>
      </c>
      <c r="K37" s="2">
        <f>50/200</f>
        <v>0.25</v>
      </c>
    </row>
    <row r="38" ht="15.75" customHeight="1">
      <c r="A38" s="4" t="s">
        <v>134</v>
      </c>
      <c r="C38" s="15">
        <v>7.0</v>
      </c>
      <c r="D38" s="15">
        <v>0.4</v>
      </c>
      <c r="E38" s="15">
        <v>10.0</v>
      </c>
      <c r="F38" s="4" t="s">
        <v>133</v>
      </c>
    </row>
    <row r="39" ht="15.75" customHeight="1">
      <c r="A39" s="4" t="s">
        <v>135</v>
      </c>
      <c r="C39" s="15">
        <v>9.0</v>
      </c>
      <c r="D39" s="15">
        <v>0.1</v>
      </c>
      <c r="E39" s="15">
        <v>20.0</v>
      </c>
      <c r="F39" s="4" t="s">
        <v>133</v>
      </c>
    </row>
    <row r="40" ht="15.75" customHeight="1">
      <c r="A40" s="4" t="s">
        <v>136</v>
      </c>
      <c r="C40" s="15">
        <v>3.0</v>
      </c>
      <c r="D40" s="15">
        <v>0.5</v>
      </c>
      <c r="E40" s="15">
        <v>1.0</v>
      </c>
      <c r="F40" s="4" t="s">
        <v>133</v>
      </c>
    </row>
    <row r="41">
      <c r="A41" s="4" t="s">
        <v>137</v>
      </c>
      <c r="C41" s="15">
        <v>3.0</v>
      </c>
      <c r="D41" s="15">
        <v>0.5</v>
      </c>
      <c r="E41" s="15">
        <v>3.0</v>
      </c>
      <c r="F41" s="4" t="s">
        <v>133</v>
      </c>
    </row>
    <row r="42" ht="15.75" customHeight="1">
      <c r="A42" s="4" t="s">
        <v>138</v>
      </c>
      <c r="C42" s="15">
        <v>5.0</v>
      </c>
      <c r="D42" s="15">
        <v>0.5</v>
      </c>
      <c r="E42" s="15">
        <v>3.0</v>
      </c>
      <c r="F42" s="4" t="s">
        <v>133</v>
      </c>
    </row>
    <row r="43" ht="15.75" customHeight="1">
      <c r="A43" s="4" t="s">
        <v>139</v>
      </c>
      <c r="C43" s="15">
        <v>5.0</v>
      </c>
      <c r="D43" s="15">
        <v>0.5</v>
      </c>
      <c r="E43" s="15">
        <v>3.0</v>
      </c>
      <c r="F43" s="4" t="s">
        <v>133</v>
      </c>
    </row>
    <row r="44" ht="15.75" customHeight="1">
      <c r="A44" s="4" t="s">
        <v>140</v>
      </c>
      <c r="C44" s="15" t="s">
        <v>131</v>
      </c>
      <c r="D44" s="15" t="s">
        <v>131</v>
      </c>
      <c r="E44" s="15">
        <v>3.0</v>
      </c>
      <c r="F44" s="4" t="s">
        <v>133</v>
      </c>
    </row>
    <row r="45" ht="15.75" customHeight="1">
      <c r="A45" s="4" t="s">
        <v>141</v>
      </c>
      <c r="C45" s="15">
        <v>9.0</v>
      </c>
      <c r="D45" s="15" t="s">
        <v>20</v>
      </c>
      <c r="E45" s="15">
        <v>0.05</v>
      </c>
      <c r="F45" s="4"/>
    </row>
    <row r="46" ht="15.75" customHeight="1">
      <c r="A46" s="4" t="s">
        <v>142</v>
      </c>
      <c r="C46" s="15">
        <v>9.0</v>
      </c>
      <c r="D46" s="15" t="s">
        <v>20</v>
      </c>
      <c r="E46" s="15">
        <v>0.2</v>
      </c>
      <c r="F46" s="4"/>
    </row>
    <row r="47" ht="15.75" customHeight="1">
      <c r="A47" s="4" t="s">
        <v>143</v>
      </c>
      <c r="C47" s="15">
        <v>9.0</v>
      </c>
      <c r="D47" s="15" t="s">
        <v>20</v>
      </c>
      <c r="E47" s="15">
        <v>10.0</v>
      </c>
      <c r="F47" s="4"/>
    </row>
    <row r="48" ht="15.75" customHeight="1">
      <c r="A48" s="4" t="s">
        <v>144</v>
      </c>
      <c r="C48" s="15">
        <v>14.0</v>
      </c>
      <c r="D48" s="15" t="s">
        <v>20</v>
      </c>
      <c r="E48" s="15">
        <v>0.01</v>
      </c>
      <c r="F48" s="4"/>
    </row>
    <row r="49" ht="15.75" customHeight="1">
      <c r="A49" s="4" t="s">
        <v>145</v>
      </c>
      <c r="C49" s="15">
        <v>14.0</v>
      </c>
      <c r="D49" s="15" t="s">
        <v>20</v>
      </c>
      <c r="E49" s="15">
        <v>0.5</v>
      </c>
      <c r="F49" s="4"/>
    </row>
    <row r="50" ht="15.75" customHeight="1">
      <c r="A50" s="4" t="s">
        <v>146</v>
      </c>
      <c r="C50" s="15">
        <v>6.0</v>
      </c>
      <c r="D50" s="15">
        <v>0.1</v>
      </c>
      <c r="E50" s="15">
        <v>1.0</v>
      </c>
    </row>
    <row r="51">
      <c r="A51" s="4" t="s">
        <v>147</v>
      </c>
      <c r="C51" s="15">
        <v>5.0</v>
      </c>
      <c r="D51" s="15">
        <v>0.1</v>
      </c>
      <c r="E51" s="15">
        <v>0.5</v>
      </c>
    </row>
    <row r="52">
      <c r="A52" s="4" t="s">
        <v>148</v>
      </c>
      <c r="C52" s="15" t="s">
        <v>20</v>
      </c>
      <c r="D52" s="15">
        <v>3.0</v>
      </c>
      <c r="E52" s="15">
        <v>0.1</v>
      </c>
    </row>
    <row r="53">
      <c r="A53" s="4" t="s">
        <v>149</v>
      </c>
      <c r="C53" s="15">
        <v>6.0</v>
      </c>
      <c r="D53" s="11" t="s">
        <v>20</v>
      </c>
      <c r="E53" s="15">
        <v>0.2</v>
      </c>
    </row>
    <row r="54">
      <c r="A54" s="4" t="s">
        <v>150</v>
      </c>
      <c r="C54" s="15">
        <v>6.0</v>
      </c>
      <c r="D54" s="11" t="s">
        <v>20</v>
      </c>
      <c r="E54" s="15">
        <v>0.5</v>
      </c>
    </row>
    <row r="55">
      <c r="A55" s="4" t="s">
        <v>151</v>
      </c>
      <c r="C55" s="15">
        <v>6.0</v>
      </c>
      <c r="D55" s="11" t="s">
        <v>20</v>
      </c>
      <c r="E55" s="15">
        <v>2.0</v>
      </c>
    </row>
    <row r="56" ht="15.75" customHeight="1">
      <c r="A56" s="4" t="s">
        <v>152</v>
      </c>
      <c r="C56" s="15">
        <v>5.0</v>
      </c>
      <c r="D56" s="11" t="s">
        <v>20</v>
      </c>
      <c r="E56" s="15">
        <v>5.0</v>
      </c>
    </row>
    <row r="57">
      <c r="A57" s="4" t="s">
        <v>153</v>
      </c>
      <c r="C57" s="11" t="s">
        <v>20</v>
      </c>
      <c r="D57" s="16" t="s">
        <v>20</v>
      </c>
      <c r="E57" s="15">
        <v>0.05</v>
      </c>
    </row>
    <row r="58">
      <c r="A58" s="4" t="s">
        <v>154</v>
      </c>
      <c r="C58" s="11" t="s">
        <v>20</v>
      </c>
      <c r="D58" s="16" t="s">
        <v>20</v>
      </c>
      <c r="E58" s="15">
        <v>0.2</v>
      </c>
    </row>
    <row r="59">
      <c r="A59" s="4" t="s">
        <v>155</v>
      </c>
      <c r="C59" s="11" t="s">
        <v>20</v>
      </c>
      <c r="D59" s="16" t="s">
        <v>20</v>
      </c>
      <c r="E59" s="15">
        <v>1.0</v>
      </c>
    </row>
    <row r="60" ht="15.75" customHeight="1">
      <c r="A60" s="4" t="s">
        <v>156</v>
      </c>
      <c r="C60" s="11" t="s">
        <v>20</v>
      </c>
      <c r="D60" s="16" t="s">
        <v>20</v>
      </c>
      <c r="E60" s="15">
        <v>5.0</v>
      </c>
    </row>
    <row r="61" ht="15.75" customHeight="1">
      <c r="A61" s="4" t="s">
        <v>157</v>
      </c>
      <c r="C61" s="11" t="s">
        <v>20</v>
      </c>
      <c r="D61" s="16" t="s">
        <v>20</v>
      </c>
      <c r="E61" s="15">
        <v>0.02</v>
      </c>
    </row>
    <row r="62" ht="15.75" customHeight="1">
      <c r="A62" s="4" t="s">
        <v>158</v>
      </c>
      <c r="C62" s="11" t="s">
        <v>20</v>
      </c>
      <c r="D62" s="16" t="s">
        <v>20</v>
      </c>
      <c r="E62" s="15">
        <v>0.1</v>
      </c>
    </row>
    <row r="63" ht="15.75" customHeight="1">
      <c r="A63" s="4" t="s">
        <v>159</v>
      </c>
      <c r="C63" s="11" t="s">
        <v>20</v>
      </c>
      <c r="D63" s="16" t="s">
        <v>20</v>
      </c>
      <c r="E63" s="15">
        <v>0.5</v>
      </c>
    </row>
    <row r="64" ht="15.75" customHeight="1">
      <c r="A64" s="4" t="s">
        <v>160</v>
      </c>
      <c r="C64" s="15" t="s">
        <v>20</v>
      </c>
      <c r="D64" s="15" t="s">
        <v>20</v>
      </c>
      <c r="E64" s="15">
        <v>0.01</v>
      </c>
      <c r="F64" s="4"/>
    </row>
    <row r="65" ht="15.75" customHeight="1">
      <c r="A65" s="4" t="s">
        <v>161</v>
      </c>
      <c r="C65" s="15" t="s">
        <v>20</v>
      </c>
      <c r="D65" s="15" t="s">
        <v>20</v>
      </c>
      <c r="E65" s="15">
        <v>0.25</v>
      </c>
      <c r="F65" s="4"/>
    </row>
    <row r="66" ht="15.75" customHeight="1">
      <c r="A66" s="4" t="s">
        <v>162</v>
      </c>
      <c r="C66" s="15" t="s">
        <v>20</v>
      </c>
      <c r="D66" s="15" t="s">
        <v>20</v>
      </c>
      <c r="E66" s="15">
        <v>0.15</v>
      </c>
      <c r="F66" s="4"/>
    </row>
    <row r="67" ht="15.75" customHeight="1">
      <c r="A67" s="4" t="s">
        <v>163</v>
      </c>
      <c r="C67" s="15" t="s">
        <v>20</v>
      </c>
      <c r="D67" s="15" t="s">
        <v>20</v>
      </c>
      <c r="E67" s="15">
        <v>0.1</v>
      </c>
      <c r="F67" s="4"/>
    </row>
    <row r="68" ht="15.75" customHeight="1">
      <c r="A68" s="4" t="s">
        <v>164</v>
      </c>
      <c r="C68" s="15" t="s">
        <v>20</v>
      </c>
      <c r="D68" s="15" t="s">
        <v>20</v>
      </c>
      <c r="E68" s="15">
        <v>0.5</v>
      </c>
      <c r="F68" s="4"/>
    </row>
    <row r="69" ht="15.75" customHeight="1">
      <c r="A69" s="4" t="s">
        <v>165</v>
      </c>
      <c r="C69" s="15" t="s">
        <v>20</v>
      </c>
      <c r="D69" s="15" t="s">
        <v>20</v>
      </c>
      <c r="E69" s="15">
        <v>0.3</v>
      </c>
      <c r="F69" s="4"/>
    </row>
    <row r="70" ht="15.75" customHeight="1">
      <c r="A70" s="4" t="s">
        <v>166</v>
      </c>
      <c r="C70" s="15" t="s">
        <v>20</v>
      </c>
      <c r="D70" s="15" t="s">
        <v>20</v>
      </c>
      <c r="E70" s="15">
        <v>0.01</v>
      </c>
      <c r="F70" s="4"/>
    </row>
    <row r="71" ht="15.75" customHeight="1">
      <c r="A71" s="4" t="s">
        <v>167</v>
      </c>
      <c r="C71" s="15" t="s">
        <v>20</v>
      </c>
      <c r="D71" s="15" t="s">
        <v>20</v>
      </c>
      <c r="E71" s="15">
        <v>0.25</v>
      </c>
      <c r="F71" s="4"/>
    </row>
    <row r="72" ht="15.75" customHeight="1">
      <c r="A72" s="4" t="s">
        <v>168</v>
      </c>
      <c r="C72" s="15">
        <v>5.0</v>
      </c>
      <c r="D72" s="15">
        <v>0.1</v>
      </c>
      <c r="E72" s="15">
        <v>5.0</v>
      </c>
      <c r="F72" s="4" t="s">
        <v>133</v>
      </c>
    </row>
    <row r="73">
      <c r="A73" s="4" t="s">
        <v>169</v>
      </c>
      <c r="C73" s="15">
        <v>3.0</v>
      </c>
      <c r="D73" s="15">
        <v>0.5</v>
      </c>
      <c r="E73" s="15">
        <v>5.0</v>
      </c>
    </row>
    <row r="74">
      <c r="A74" s="4" t="s">
        <v>170</v>
      </c>
      <c r="C74" s="15">
        <v>3.0</v>
      </c>
      <c r="D74" s="15">
        <v>0.5</v>
      </c>
      <c r="E74" s="15">
        <v>5.0</v>
      </c>
    </row>
    <row r="75">
      <c r="A75" s="4" t="s">
        <v>171</v>
      </c>
      <c r="C75" s="15">
        <v>4.0</v>
      </c>
      <c r="D75" s="15">
        <v>0.2</v>
      </c>
      <c r="E75" s="15">
        <v>0.4</v>
      </c>
    </row>
    <row r="76" ht="15.75" customHeight="1">
      <c r="A76" s="4" t="s">
        <v>172</v>
      </c>
      <c r="C76" s="15" t="s">
        <v>131</v>
      </c>
      <c r="D76" s="15" t="s">
        <v>131</v>
      </c>
      <c r="E76" s="15">
        <v>0.1</v>
      </c>
    </row>
    <row r="77" ht="15.75" customHeight="1">
      <c r="A77" s="4" t="s">
        <v>173</v>
      </c>
      <c r="C77" s="15" t="s">
        <v>131</v>
      </c>
      <c r="D77" s="15" t="s">
        <v>131</v>
      </c>
      <c r="E77" s="15">
        <v>0.5</v>
      </c>
    </row>
    <row r="78" ht="15.75" customHeight="1">
      <c r="A78" s="4" t="s">
        <v>174</v>
      </c>
      <c r="C78" s="15" t="s">
        <v>131</v>
      </c>
      <c r="D78" s="15" t="s">
        <v>131</v>
      </c>
      <c r="E78" s="15">
        <v>3.0</v>
      </c>
    </row>
    <row r="79" ht="15.75" customHeight="1">
      <c r="A79" s="4" t="s">
        <v>175</v>
      </c>
      <c r="C79" s="15" t="s">
        <v>131</v>
      </c>
      <c r="D79" s="15" t="s">
        <v>131</v>
      </c>
      <c r="E79" s="15">
        <v>0.5</v>
      </c>
    </row>
    <row r="80" ht="15.75" customHeight="1">
      <c r="A80" s="4" t="s">
        <v>176</v>
      </c>
      <c r="C80" s="15" t="s">
        <v>131</v>
      </c>
      <c r="D80" s="15" t="s">
        <v>131</v>
      </c>
      <c r="E80" s="15">
        <v>50.0</v>
      </c>
    </row>
    <row r="81">
      <c r="A81" s="4" t="s">
        <v>177</v>
      </c>
      <c r="C81" s="15" t="s">
        <v>20</v>
      </c>
      <c r="D81" s="15">
        <v>2.0</v>
      </c>
      <c r="E81" s="15">
        <v>0.2</v>
      </c>
    </row>
    <row r="82">
      <c r="A82" s="4" t="s">
        <v>178</v>
      </c>
      <c r="C82" s="15" t="s">
        <v>20</v>
      </c>
      <c r="D82" s="15" t="s">
        <v>20</v>
      </c>
      <c r="E82" s="15">
        <v>0.01</v>
      </c>
    </row>
    <row r="83">
      <c r="A83" s="4" t="s">
        <v>179</v>
      </c>
      <c r="C83" s="15" t="s">
        <v>20</v>
      </c>
      <c r="D83" s="15" t="s">
        <v>20</v>
      </c>
      <c r="E83" s="15">
        <v>0.05</v>
      </c>
    </row>
    <row r="84">
      <c r="A84" s="4" t="s">
        <v>180</v>
      </c>
      <c r="C84" s="15" t="s">
        <v>20</v>
      </c>
      <c r="D84" s="15" t="s">
        <v>20</v>
      </c>
      <c r="E84" s="15">
        <v>2.0</v>
      </c>
    </row>
    <row r="85">
      <c r="A85" s="4" t="s">
        <v>181</v>
      </c>
      <c r="C85" s="15" t="s">
        <v>20</v>
      </c>
      <c r="D85" s="15" t="s">
        <v>20</v>
      </c>
      <c r="E85" s="15">
        <v>2.0</v>
      </c>
    </row>
    <row r="86">
      <c r="A86" s="4" t="s">
        <v>182</v>
      </c>
      <c r="C86" s="15" t="s">
        <v>20</v>
      </c>
      <c r="D86" s="15">
        <v>2.0</v>
      </c>
      <c r="E86" s="15">
        <v>0.02</v>
      </c>
    </row>
    <row r="87">
      <c r="A87" s="4" t="s">
        <v>183</v>
      </c>
      <c r="C87" s="15" t="s">
        <v>20</v>
      </c>
      <c r="D87" s="15" t="s">
        <v>20</v>
      </c>
      <c r="E87" s="15">
        <v>0.05</v>
      </c>
    </row>
    <row r="88">
      <c r="A88" s="4" t="s">
        <v>184</v>
      </c>
      <c r="C88" s="15" t="s">
        <v>20</v>
      </c>
      <c r="D88" s="15" t="s">
        <v>20</v>
      </c>
      <c r="E88" s="15">
        <v>0.25</v>
      </c>
    </row>
    <row r="89" ht="15.75" customHeight="1">
      <c r="A89" s="4" t="s">
        <v>185</v>
      </c>
      <c r="C89" s="15" t="s">
        <v>20</v>
      </c>
      <c r="D89" s="15" t="s">
        <v>20</v>
      </c>
      <c r="E89" s="15">
        <v>1.0</v>
      </c>
    </row>
    <row r="90" ht="15.75" customHeight="1">
      <c r="A90" s="4" t="s">
        <v>186</v>
      </c>
      <c r="C90" s="15" t="s">
        <v>20</v>
      </c>
      <c r="D90" s="15" t="s">
        <v>20</v>
      </c>
      <c r="E90" s="15">
        <v>0.25</v>
      </c>
    </row>
    <row r="91" ht="15.75" customHeight="1">
      <c r="A91" s="4" t="s">
        <v>187</v>
      </c>
      <c r="C91" s="15" t="s">
        <v>20</v>
      </c>
      <c r="D91" s="15" t="s">
        <v>20</v>
      </c>
      <c r="E91" s="15">
        <v>2.25</v>
      </c>
    </row>
    <row r="92" ht="15.75" customHeight="1">
      <c r="A92" s="4" t="s">
        <v>188</v>
      </c>
      <c r="C92" s="15" t="s">
        <v>20</v>
      </c>
      <c r="D92" s="15" t="s">
        <v>20</v>
      </c>
      <c r="E92" s="15">
        <v>0.5</v>
      </c>
    </row>
    <row r="93" ht="15.75" customHeight="1">
      <c r="A93" s="4" t="s">
        <v>189</v>
      </c>
      <c r="C93" s="15" t="s">
        <v>20</v>
      </c>
      <c r="D93" s="15" t="s">
        <v>20</v>
      </c>
      <c r="E93" s="15">
        <v>1.5</v>
      </c>
    </row>
    <row r="94" ht="15.75" customHeight="1">
      <c r="A94" s="4" t="s">
        <v>190</v>
      </c>
      <c r="C94" s="15" t="s">
        <v>131</v>
      </c>
      <c r="D94" s="15" t="s">
        <v>131</v>
      </c>
      <c r="E94" s="15" t="s">
        <v>191</v>
      </c>
    </row>
    <row r="95" ht="15.75" customHeight="1">
      <c r="A95" s="4" t="s">
        <v>192</v>
      </c>
      <c r="C95" s="15" t="s">
        <v>131</v>
      </c>
      <c r="D95" s="15" t="s">
        <v>131</v>
      </c>
      <c r="E95" s="15" t="s">
        <v>193</v>
      </c>
    </row>
    <row r="96" ht="15.75" customHeight="1">
      <c r="A96" s="4" t="s">
        <v>194</v>
      </c>
      <c r="C96" s="15" t="s">
        <v>131</v>
      </c>
      <c r="D96" s="15" t="s">
        <v>131</v>
      </c>
      <c r="E96" s="15" t="s">
        <v>195</v>
      </c>
    </row>
    <row r="97" ht="15.75" customHeight="1">
      <c r="A97" s="4" t="s">
        <v>196</v>
      </c>
      <c r="C97" s="15" t="s">
        <v>131</v>
      </c>
      <c r="D97" s="15" t="s">
        <v>131</v>
      </c>
      <c r="E97" s="15" t="s">
        <v>197</v>
      </c>
    </row>
    <row r="98" ht="15.75" customHeight="1">
      <c r="A98" s="4" t="s">
        <v>198</v>
      </c>
      <c r="C98" s="15" t="s">
        <v>131</v>
      </c>
      <c r="D98" s="15" t="s">
        <v>131</v>
      </c>
      <c r="E98" s="15" t="s">
        <v>199</v>
      </c>
    </row>
    <row r="99" ht="15.75" customHeight="1">
      <c r="A99" s="4" t="s">
        <v>200</v>
      </c>
      <c r="C99" s="15" t="s">
        <v>131</v>
      </c>
      <c r="D99" s="15" t="s">
        <v>131</v>
      </c>
      <c r="E99" s="15" t="s">
        <v>201</v>
      </c>
    </row>
    <row r="100" ht="15.75" customHeight="1">
      <c r="A100" s="4" t="s">
        <v>202</v>
      </c>
      <c r="C100" s="15" t="s">
        <v>131</v>
      </c>
      <c r="D100" s="15" t="s">
        <v>131</v>
      </c>
      <c r="E100" s="15" t="s">
        <v>203</v>
      </c>
    </row>
    <row r="101" ht="15.75" customHeight="1">
      <c r="A101" s="4" t="s">
        <v>204</v>
      </c>
      <c r="C101" s="15" t="s">
        <v>131</v>
      </c>
      <c r="D101" s="15" t="s">
        <v>131</v>
      </c>
      <c r="E101" s="15" t="s">
        <v>205</v>
      </c>
    </row>
    <row r="102" ht="15.75" customHeight="1">
      <c r="A102" s="4" t="s">
        <v>206</v>
      </c>
      <c r="C102" s="15" t="s">
        <v>131</v>
      </c>
      <c r="D102" s="15" t="s">
        <v>131</v>
      </c>
      <c r="E102" s="15" t="s">
        <v>207</v>
      </c>
    </row>
    <row r="103" ht="15.75" customHeight="1">
      <c r="A103" s="4" t="s">
        <v>208</v>
      </c>
      <c r="C103" s="15" t="s">
        <v>131</v>
      </c>
      <c r="D103" s="15" t="s">
        <v>131</v>
      </c>
      <c r="E103" s="17" t="s">
        <v>209</v>
      </c>
    </row>
    <row r="104" ht="15.75" customHeight="1">
      <c r="A104" s="4" t="s">
        <v>210</v>
      </c>
      <c r="C104" s="13"/>
      <c r="D104" s="13"/>
    </row>
    <row r="105" ht="15.75" customHeight="1">
      <c r="B105" s="4" t="s">
        <v>211</v>
      </c>
      <c r="C105" s="15" t="s">
        <v>131</v>
      </c>
      <c r="D105" s="15" t="s">
        <v>131</v>
      </c>
      <c r="E105" s="17" t="s">
        <v>212</v>
      </c>
    </row>
    <row r="106" ht="15.75" customHeight="1">
      <c r="B106" s="4" t="s">
        <v>213</v>
      </c>
      <c r="C106" s="15" t="s">
        <v>131</v>
      </c>
      <c r="D106" s="15" t="s">
        <v>131</v>
      </c>
      <c r="E106" s="17" t="s">
        <v>214</v>
      </c>
    </row>
    <row r="107" ht="15.75" customHeight="1">
      <c r="B107" s="4" t="s">
        <v>215</v>
      </c>
      <c r="C107" s="15" t="s">
        <v>131</v>
      </c>
      <c r="D107" s="15" t="s">
        <v>131</v>
      </c>
      <c r="E107" s="15" t="s">
        <v>216</v>
      </c>
    </row>
    <row r="108" ht="15.75" customHeight="1">
      <c r="B108" s="4" t="s">
        <v>217</v>
      </c>
      <c r="C108" s="15" t="s">
        <v>131</v>
      </c>
      <c r="D108" s="15" t="s">
        <v>131</v>
      </c>
      <c r="E108" s="15" t="s">
        <v>191</v>
      </c>
    </row>
    <row r="109" ht="15.75" customHeight="1">
      <c r="C109" s="13"/>
      <c r="D109" s="13"/>
    </row>
    <row r="110" ht="15.75" customHeight="1">
      <c r="C110" s="13"/>
      <c r="D110" s="13"/>
    </row>
    <row r="111" ht="15.75" customHeight="1">
      <c r="C111" s="13"/>
      <c r="D111" s="13"/>
    </row>
    <row r="112" ht="15.75" customHeight="1">
      <c r="C112" s="13"/>
      <c r="D112" s="13"/>
    </row>
    <row r="113" ht="15.75" customHeight="1">
      <c r="C113" s="13"/>
      <c r="D113" s="13"/>
    </row>
    <row r="114" ht="15.75" customHeight="1">
      <c r="C114" s="13"/>
      <c r="D114" s="13"/>
    </row>
    <row r="115" ht="15.75" customHeight="1">
      <c r="C115" s="13"/>
      <c r="D115" s="13"/>
    </row>
    <row r="116" ht="15.75" customHeight="1">
      <c r="C116" s="13"/>
      <c r="D116" s="13"/>
    </row>
    <row r="117" ht="15.75" customHeight="1">
      <c r="C117" s="13"/>
      <c r="D117" s="13"/>
    </row>
    <row r="118" ht="15.75" customHeight="1">
      <c r="C118" s="13"/>
      <c r="D118" s="13"/>
    </row>
    <row r="119" ht="15.75" customHeight="1">
      <c r="C119" s="13"/>
      <c r="D119" s="13"/>
    </row>
    <row r="120" ht="15.75" customHeight="1">
      <c r="C120" s="13"/>
      <c r="D120" s="13"/>
    </row>
    <row r="121" ht="15.75" customHeight="1">
      <c r="C121" s="13"/>
      <c r="D121" s="13"/>
    </row>
    <row r="122" ht="15.75" customHeight="1">
      <c r="C122" s="13"/>
      <c r="D122" s="13"/>
    </row>
    <row r="123" ht="15.75" customHeight="1">
      <c r="C123" s="13"/>
      <c r="D123" s="13"/>
    </row>
    <row r="124" ht="15.75" customHeight="1">
      <c r="C124" s="13"/>
      <c r="D124" s="13"/>
    </row>
    <row r="125" ht="15.75" customHeight="1">
      <c r="C125" s="13"/>
      <c r="D125" s="13"/>
    </row>
    <row r="126" ht="15.75" customHeight="1">
      <c r="C126" s="13"/>
      <c r="D126" s="13"/>
    </row>
    <row r="127" ht="15.75" customHeight="1">
      <c r="C127" s="13"/>
      <c r="D127" s="13"/>
    </row>
    <row r="128" ht="15.75" customHeight="1">
      <c r="C128" s="13"/>
      <c r="D128" s="13"/>
    </row>
    <row r="129" ht="15.75" customHeight="1">
      <c r="C129" s="13"/>
      <c r="D129" s="13"/>
    </row>
    <row r="130" ht="15.75" customHeight="1">
      <c r="C130" s="13"/>
      <c r="D130" s="13"/>
    </row>
    <row r="131" ht="15.75" customHeight="1">
      <c r="C131" s="13"/>
      <c r="D131" s="13"/>
    </row>
    <row r="132" ht="15.75" customHeight="1">
      <c r="C132" s="13"/>
      <c r="D132" s="13"/>
    </row>
    <row r="133" ht="15.75" customHeight="1">
      <c r="C133" s="13"/>
      <c r="D133" s="13"/>
    </row>
    <row r="134" ht="15.75" customHeight="1">
      <c r="C134" s="13"/>
      <c r="D134" s="13"/>
    </row>
    <row r="135" ht="15.75" customHeight="1">
      <c r="C135" s="13"/>
      <c r="D135" s="13"/>
    </row>
    <row r="136" ht="15.75" customHeight="1">
      <c r="C136" s="13"/>
      <c r="D136" s="13"/>
    </row>
    <row r="137" ht="15.75" customHeight="1">
      <c r="C137" s="13"/>
      <c r="D137" s="13"/>
    </row>
    <row r="138" ht="15.75" customHeight="1">
      <c r="C138" s="13"/>
      <c r="D138" s="13"/>
    </row>
    <row r="139" ht="15.75" customHeight="1">
      <c r="C139" s="13"/>
      <c r="D139" s="13"/>
    </row>
    <row r="140" ht="15.75" customHeight="1">
      <c r="C140" s="13"/>
      <c r="D140" s="13"/>
    </row>
    <row r="141" ht="15.75" customHeight="1">
      <c r="C141" s="13"/>
      <c r="D141" s="13"/>
    </row>
    <row r="142" ht="15.75" customHeight="1">
      <c r="C142" s="13"/>
      <c r="D142" s="13"/>
    </row>
    <row r="143" ht="15.75" customHeight="1">
      <c r="C143" s="13"/>
      <c r="D143" s="13"/>
    </row>
    <row r="144" ht="15.75" customHeight="1">
      <c r="C144" s="13"/>
      <c r="D144" s="13"/>
    </row>
    <row r="145" ht="15.75" customHeight="1">
      <c r="C145" s="13"/>
      <c r="D145" s="13"/>
    </row>
    <row r="146" ht="15.75" customHeight="1">
      <c r="C146" s="13"/>
      <c r="D146" s="13"/>
    </row>
    <row r="147" ht="15.75" customHeight="1">
      <c r="C147" s="13"/>
      <c r="D147" s="13"/>
    </row>
    <row r="148" ht="15.75" customHeight="1">
      <c r="C148" s="13"/>
      <c r="D148" s="13"/>
    </row>
    <row r="149" ht="15.75" customHeight="1">
      <c r="C149" s="13"/>
      <c r="D149" s="13"/>
    </row>
    <row r="150" ht="15.75" customHeight="1">
      <c r="C150" s="13"/>
      <c r="D150" s="13"/>
    </row>
    <row r="151" ht="15.75" customHeight="1">
      <c r="C151" s="13"/>
      <c r="D151" s="13"/>
    </row>
    <row r="152" ht="15.75" customHeight="1">
      <c r="C152" s="13"/>
      <c r="D152" s="13"/>
    </row>
    <row r="153" ht="15.75" customHeight="1">
      <c r="C153" s="13"/>
      <c r="D153" s="13"/>
    </row>
    <row r="154" ht="15.75" customHeight="1">
      <c r="C154" s="13"/>
      <c r="D154" s="13"/>
    </row>
    <row r="155" ht="15.75" customHeight="1">
      <c r="C155" s="13"/>
      <c r="D155" s="13"/>
    </row>
    <row r="156" ht="15.75" customHeight="1">
      <c r="C156" s="13"/>
      <c r="D156" s="13"/>
    </row>
    <row r="157" ht="15.75" customHeight="1">
      <c r="C157" s="13"/>
      <c r="D157" s="13"/>
    </row>
    <row r="158" ht="15.75" customHeight="1">
      <c r="C158" s="13"/>
      <c r="D158" s="13"/>
    </row>
    <row r="159" ht="15.75" customHeight="1">
      <c r="C159" s="13"/>
      <c r="D159" s="13"/>
    </row>
    <row r="160" ht="15.75" customHeight="1">
      <c r="C160" s="13"/>
      <c r="D160" s="13"/>
    </row>
    <row r="161" ht="15.75" customHeight="1">
      <c r="C161" s="13"/>
      <c r="D161" s="13"/>
    </row>
    <row r="162" ht="15.75" customHeight="1">
      <c r="C162" s="13"/>
      <c r="D162" s="13"/>
    </row>
    <row r="163" ht="15.75" customHeight="1">
      <c r="C163" s="13"/>
      <c r="D163" s="13"/>
    </row>
    <row r="164" ht="15.75" customHeight="1">
      <c r="C164" s="13"/>
      <c r="D164" s="13"/>
    </row>
    <row r="165" ht="15.75" customHeight="1">
      <c r="C165" s="13"/>
      <c r="D165" s="13"/>
    </row>
    <row r="166" ht="15.75" customHeight="1">
      <c r="C166" s="13"/>
      <c r="D166" s="13"/>
    </row>
    <row r="167" ht="15.75" customHeight="1">
      <c r="C167" s="13"/>
      <c r="D167" s="13"/>
    </row>
    <row r="168" ht="15.75" customHeight="1">
      <c r="C168" s="13"/>
      <c r="D168" s="13"/>
    </row>
    <row r="169" ht="15.75" customHeight="1">
      <c r="C169" s="13"/>
      <c r="D169" s="13"/>
    </row>
    <row r="170" ht="15.75" customHeight="1">
      <c r="C170" s="13"/>
      <c r="D170" s="13"/>
    </row>
    <row r="171" ht="15.75" customHeight="1">
      <c r="C171" s="13"/>
      <c r="D171" s="13"/>
    </row>
    <row r="172" ht="15.75" customHeight="1">
      <c r="C172" s="13"/>
      <c r="D172" s="13"/>
    </row>
    <row r="173" ht="15.75" customHeight="1">
      <c r="C173" s="13"/>
      <c r="D173" s="13"/>
    </row>
    <row r="174" ht="15.75" customHeight="1">
      <c r="C174" s="13"/>
      <c r="D174" s="13"/>
    </row>
    <row r="175" ht="15.75" customHeight="1">
      <c r="C175" s="13"/>
      <c r="D175" s="13"/>
    </row>
    <row r="176" ht="15.75" customHeight="1">
      <c r="C176" s="13"/>
      <c r="D176" s="13"/>
    </row>
    <row r="177" ht="15.75" customHeight="1">
      <c r="C177" s="13"/>
      <c r="D177" s="13"/>
    </row>
    <row r="178" ht="15.75" customHeight="1">
      <c r="C178" s="13"/>
      <c r="D178" s="13"/>
    </row>
    <row r="179" ht="15.75" customHeight="1">
      <c r="C179" s="13"/>
      <c r="D179" s="13"/>
    </row>
    <row r="180" ht="15.75" customHeight="1">
      <c r="C180" s="13"/>
      <c r="D180" s="13"/>
    </row>
    <row r="181" ht="15.75" customHeight="1">
      <c r="C181" s="13"/>
      <c r="D181" s="13"/>
    </row>
    <row r="182" ht="15.75" customHeight="1">
      <c r="C182" s="13"/>
      <c r="D182" s="13"/>
    </row>
    <row r="183" ht="15.75" customHeight="1">
      <c r="C183" s="13"/>
      <c r="D183" s="13"/>
    </row>
    <row r="184" ht="15.75" customHeight="1">
      <c r="C184" s="13"/>
      <c r="D184" s="13"/>
    </row>
    <row r="185" ht="15.75" customHeight="1">
      <c r="C185" s="13"/>
      <c r="D185" s="13"/>
    </row>
    <row r="186" ht="15.75" customHeight="1">
      <c r="C186" s="13"/>
      <c r="D186" s="13"/>
    </row>
    <row r="187" ht="15.75" customHeight="1">
      <c r="C187" s="13"/>
      <c r="D187" s="13"/>
    </row>
    <row r="188" ht="15.75" customHeight="1">
      <c r="C188" s="13"/>
      <c r="D188" s="13"/>
    </row>
    <row r="189" ht="15.75" customHeight="1">
      <c r="C189" s="13"/>
      <c r="D189" s="13"/>
    </row>
    <row r="190" ht="15.75" customHeight="1">
      <c r="C190" s="13"/>
      <c r="D190" s="13"/>
    </row>
    <row r="191" ht="15.75" customHeight="1">
      <c r="C191" s="13"/>
      <c r="D191" s="13"/>
    </row>
    <row r="192" ht="15.75" customHeight="1">
      <c r="C192" s="13"/>
      <c r="D192" s="13"/>
    </row>
    <row r="193" ht="15.75" customHeight="1">
      <c r="C193" s="13"/>
      <c r="D193" s="13"/>
    </row>
    <row r="194" ht="15.75" customHeight="1">
      <c r="C194" s="13"/>
      <c r="D194" s="13"/>
    </row>
    <row r="195" ht="15.75" customHeight="1">
      <c r="C195" s="13"/>
      <c r="D195" s="13"/>
    </row>
    <row r="196" ht="15.75" customHeight="1">
      <c r="C196" s="13"/>
      <c r="D196" s="13"/>
    </row>
    <row r="197" ht="15.75" customHeight="1">
      <c r="C197" s="13"/>
      <c r="D197" s="13"/>
    </row>
    <row r="198" ht="15.75" customHeight="1">
      <c r="C198" s="13"/>
      <c r="D198" s="13"/>
    </row>
    <row r="199" ht="15.75" customHeight="1">
      <c r="C199" s="13"/>
      <c r="D199" s="13"/>
    </row>
    <row r="200" ht="15.75" customHeight="1">
      <c r="C200" s="13"/>
      <c r="D200" s="13"/>
    </row>
    <row r="201" ht="15.75" customHeight="1">
      <c r="C201" s="13"/>
      <c r="D201" s="13"/>
    </row>
    <row r="202" ht="15.75" customHeight="1">
      <c r="C202" s="13"/>
      <c r="D202" s="13"/>
    </row>
    <row r="203" ht="15.75" customHeight="1">
      <c r="C203" s="13"/>
      <c r="D203" s="13"/>
    </row>
    <row r="204" ht="15.75" customHeight="1">
      <c r="C204" s="13"/>
      <c r="D204" s="13"/>
    </row>
    <row r="205" ht="15.75" customHeight="1">
      <c r="C205" s="13"/>
      <c r="D205" s="13"/>
    </row>
    <row r="206" ht="15.75" customHeight="1">
      <c r="C206" s="13"/>
      <c r="D206" s="13"/>
    </row>
    <row r="207" ht="15.75" customHeight="1">
      <c r="C207" s="13"/>
      <c r="D207" s="13"/>
    </row>
    <row r="208" ht="15.75" customHeight="1">
      <c r="C208" s="13"/>
      <c r="D208" s="13"/>
    </row>
    <row r="209" ht="15.75" customHeight="1">
      <c r="C209" s="13"/>
      <c r="D209" s="13"/>
    </row>
    <row r="210" ht="15.75" customHeight="1">
      <c r="C210" s="13"/>
      <c r="D210" s="13"/>
    </row>
    <row r="211" ht="15.75" customHeight="1">
      <c r="C211" s="13"/>
      <c r="D211" s="13"/>
    </row>
    <row r="212" ht="15.75" customHeight="1">
      <c r="C212" s="13"/>
      <c r="D212" s="13"/>
    </row>
    <row r="213" ht="15.75" customHeight="1">
      <c r="C213" s="13"/>
      <c r="D213" s="13"/>
    </row>
    <row r="214" ht="15.75" customHeight="1">
      <c r="C214" s="13"/>
      <c r="D214" s="13"/>
    </row>
    <row r="215" ht="15.75" customHeight="1">
      <c r="C215" s="13"/>
      <c r="D215" s="13"/>
    </row>
    <row r="216" ht="15.75" customHeight="1">
      <c r="C216" s="13"/>
      <c r="D216" s="13"/>
    </row>
    <row r="217" ht="15.75" customHeight="1">
      <c r="C217" s="13"/>
      <c r="D217" s="13"/>
    </row>
    <row r="218" ht="15.75" customHeight="1">
      <c r="C218" s="13"/>
      <c r="D218" s="13"/>
    </row>
    <row r="219" ht="15.75" customHeight="1">
      <c r="C219" s="13"/>
      <c r="D219" s="13"/>
    </row>
    <row r="220" ht="15.75" customHeight="1">
      <c r="C220" s="13"/>
      <c r="D220" s="13"/>
    </row>
    <row r="221" ht="15.75" customHeight="1">
      <c r="C221" s="13"/>
      <c r="D221" s="13"/>
    </row>
    <row r="222" ht="15.75" customHeight="1">
      <c r="C222" s="13"/>
      <c r="D222" s="13"/>
    </row>
    <row r="223" ht="15.75" customHeight="1">
      <c r="C223" s="13"/>
      <c r="D223" s="13"/>
    </row>
    <row r="224" ht="15.75" customHeight="1">
      <c r="C224" s="13"/>
      <c r="D224" s="13"/>
    </row>
    <row r="225" ht="15.75" customHeight="1">
      <c r="C225" s="13"/>
      <c r="D225" s="13"/>
    </row>
    <row r="226" ht="15.75" customHeight="1">
      <c r="C226" s="13"/>
      <c r="D226" s="13"/>
    </row>
    <row r="227" ht="15.75" customHeight="1">
      <c r="C227" s="13"/>
      <c r="D227" s="13"/>
    </row>
    <row r="228" ht="15.75" customHeight="1">
      <c r="C228" s="13"/>
      <c r="D228" s="13"/>
    </row>
    <row r="229" ht="15.75" customHeight="1">
      <c r="C229" s="13"/>
      <c r="D229" s="13"/>
    </row>
    <row r="230" ht="15.75" customHeight="1">
      <c r="C230" s="13"/>
      <c r="D230" s="13"/>
    </row>
    <row r="231" ht="15.75" customHeight="1">
      <c r="C231" s="13"/>
      <c r="D231" s="13"/>
    </row>
    <row r="232" ht="15.75" customHeight="1">
      <c r="C232" s="13"/>
      <c r="D232" s="13"/>
    </row>
    <row r="233" ht="15.75" customHeight="1">
      <c r="C233" s="13"/>
      <c r="D233" s="13"/>
    </row>
    <row r="234" ht="15.75" customHeight="1">
      <c r="C234" s="13"/>
      <c r="D234" s="13"/>
    </row>
    <row r="235" ht="15.75" customHeight="1">
      <c r="C235" s="13"/>
      <c r="D235" s="13"/>
    </row>
    <row r="236" ht="15.75" customHeight="1">
      <c r="C236" s="13"/>
      <c r="D236" s="13"/>
    </row>
    <row r="237" ht="15.75" customHeight="1">
      <c r="C237" s="13"/>
      <c r="D237" s="13"/>
    </row>
    <row r="238" ht="15.75" customHeight="1">
      <c r="C238" s="13"/>
      <c r="D238" s="13"/>
    </row>
    <row r="239" ht="15.75" customHeight="1">
      <c r="C239" s="13"/>
      <c r="D239" s="13"/>
    </row>
    <row r="240" ht="15.75" customHeight="1">
      <c r="C240" s="13"/>
      <c r="D240" s="13"/>
    </row>
    <row r="241" ht="15.75" customHeight="1">
      <c r="C241" s="13"/>
      <c r="D241" s="13"/>
    </row>
    <row r="242" ht="15.75" customHeight="1">
      <c r="C242" s="13"/>
      <c r="D242" s="13"/>
    </row>
    <row r="243" ht="15.75" customHeight="1">
      <c r="C243" s="13"/>
      <c r="D243" s="13"/>
    </row>
    <row r="244" ht="15.75" customHeight="1">
      <c r="C244" s="13"/>
      <c r="D244" s="13"/>
    </row>
    <row r="245" ht="15.75" customHeight="1">
      <c r="C245" s="13"/>
      <c r="D245" s="13"/>
    </row>
    <row r="246" ht="15.75" customHeight="1">
      <c r="C246" s="13"/>
      <c r="D246" s="13"/>
    </row>
    <row r="247" ht="15.75" customHeight="1">
      <c r="C247" s="13"/>
      <c r="D247" s="13"/>
    </row>
    <row r="248" ht="15.75" customHeight="1">
      <c r="C248" s="13"/>
      <c r="D248" s="13"/>
    </row>
    <row r="249" ht="15.75" customHeight="1">
      <c r="C249" s="13"/>
      <c r="D249" s="13"/>
    </row>
    <row r="250" ht="15.75" customHeight="1">
      <c r="C250" s="13"/>
      <c r="D250" s="13"/>
    </row>
    <row r="251" ht="15.75" customHeight="1">
      <c r="C251" s="13"/>
      <c r="D251" s="13"/>
    </row>
    <row r="252" ht="15.75" customHeight="1">
      <c r="C252" s="13"/>
      <c r="D252" s="13"/>
    </row>
    <row r="253" ht="15.75" customHeight="1">
      <c r="C253" s="13"/>
      <c r="D253" s="13"/>
    </row>
    <row r="254" ht="15.75" customHeight="1">
      <c r="C254" s="13"/>
      <c r="D254" s="13"/>
    </row>
    <row r="255" ht="15.75" customHeight="1">
      <c r="C255" s="13"/>
      <c r="D255" s="13"/>
    </row>
    <row r="256" ht="15.75" customHeight="1">
      <c r="C256" s="13"/>
      <c r="D256" s="13"/>
    </row>
    <row r="257" ht="15.75" customHeight="1">
      <c r="C257" s="13"/>
      <c r="D257" s="13"/>
    </row>
    <row r="258" ht="15.75" customHeight="1">
      <c r="C258" s="13"/>
      <c r="D258" s="13"/>
    </row>
    <row r="259" ht="15.75" customHeight="1">
      <c r="C259" s="13"/>
      <c r="D259" s="13"/>
    </row>
    <row r="260" ht="15.75" customHeight="1">
      <c r="C260" s="13"/>
      <c r="D260" s="13"/>
    </row>
    <row r="261" ht="15.75" customHeight="1">
      <c r="C261" s="13"/>
      <c r="D261" s="13"/>
    </row>
    <row r="262" ht="15.75" customHeight="1">
      <c r="C262" s="13"/>
      <c r="D262" s="13"/>
    </row>
    <row r="263" ht="15.75" customHeight="1">
      <c r="C263" s="13"/>
      <c r="D263" s="13"/>
    </row>
    <row r="264" ht="15.75" customHeight="1">
      <c r="C264" s="13"/>
      <c r="D264" s="13"/>
    </row>
    <row r="265" ht="15.75" customHeight="1">
      <c r="C265" s="13"/>
      <c r="D265" s="13"/>
    </row>
    <row r="266" ht="15.75" customHeight="1">
      <c r="C266" s="13"/>
      <c r="D266" s="13"/>
    </row>
    <row r="267" ht="15.75" customHeight="1">
      <c r="C267" s="13"/>
      <c r="D267" s="13"/>
    </row>
    <row r="268" ht="15.75" customHeight="1">
      <c r="C268" s="13"/>
      <c r="D268" s="13"/>
    </row>
    <row r="269" ht="15.75" customHeight="1">
      <c r="C269" s="13"/>
      <c r="D269" s="13"/>
    </row>
    <row r="270" ht="15.75" customHeight="1">
      <c r="C270" s="13"/>
      <c r="D270" s="13"/>
    </row>
    <row r="271" ht="15.75" customHeight="1">
      <c r="C271" s="13"/>
      <c r="D271" s="13"/>
    </row>
    <row r="272" ht="15.75" customHeight="1">
      <c r="C272" s="13"/>
      <c r="D272" s="13"/>
    </row>
    <row r="273" ht="15.75" customHeight="1">
      <c r="C273" s="13"/>
      <c r="D273" s="13"/>
    </row>
    <row r="274" ht="15.75" customHeight="1">
      <c r="C274" s="13"/>
      <c r="D274" s="13"/>
    </row>
    <row r="275" ht="15.75" customHeight="1">
      <c r="C275" s="13"/>
      <c r="D275" s="13"/>
    </row>
    <row r="276" ht="15.75" customHeight="1">
      <c r="C276" s="13"/>
      <c r="D276" s="13"/>
    </row>
    <row r="277" ht="15.75" customHeight="1">
      <c r="C277" s="13"/>
      <c r="D277" s="13"/>
    </row>
    <row r="278" ht="15.75" customHeight="1">
      <c r="C278" s="13"/>
      <c r="D278" s="13"/>
    </row>
    <row r="279" ht="15.75" customHeight="1">
      <c r="C279" s="13"/>
      <c r="D279" s="13"/>
    </row>
    <row r="280" ht="15.75" customHeight="1">
      <c r="C280" s="13"/>
      <c r="D280" s="13"/>
    </row>
    <row r="281" ht="15.75" customHeight="1">
      <c r="C281" s="13"/>
      <c r="D281" s="13"/>
    </row>
    <row r="282" ht="15.75" customHeight="1">
      <c r="C282" s="13"/>
      <c r="D282" s="13"/>
    </row>
    <row r="283" ht="15.75" customHeight="1">
      <c r="C283" s="13"/>
      <c r="D283" s="13"/>
    </row>
    <row r="284" ht="15.75" customHeight="1">
      <c r="C284" s="13"/>
      <c r="D284" s="13"/>
    </row>
    <row r="285" ht="15.75" customHeight="1">
      <c r="C285" s="13"/>
      <c r="D285" s="13"/>
    </row>
    <row r="286" ht="15.75" customHeight="1">
      <c r="C286" s="13"/>
      <c r="D286" s="13"/>
    </row>
    <row r="287" ht="15.75" customHeight="1">
      <c r="C287" s="13"/>
      <c r="D287" s="13"/>
    </row>
    <row r="288" ht="15.75" customHeight="1">
      <c r="C288" s="13"/>
      <c r="D288" s="13"/>
    </row>
    <row r="289" ht="15.75" customHeight="1">
      <c r="C289" s="13"/>
      <c r="D289" s="13"/>
    </row>
    <row r="290" ht="15.75" customHeight="1">
      <c r="C290" s="13"/>
      <c r="D290" s="13"/>
    </row>
    <row r="291" ht="15.75" customHeight="1">
      <c r="C291" s="13"/>
      <c r="D291" s="13"/>
    </row>
    <row r="292" ht="15.75" customHeight="1">
      <c r="C292" s="13"/>
      <c r="D292" s="13"/>
    </row>
    <row r="293" ht="15.75" customHeight="1">
      <c r="C293" s="13"/>
      <c r="D293" s="13"/>
    </row>
    <row r="294" ht="15.75" customHeight="1">
      <c r="C294" s="13"/>
      <c r="D294" s="13"/>
    </row>
    <row r="295" ht="15.75" customHeight="1">
      <c r="C295" s="13"/>
      <c r="D295" s="13"/>
    </row>
    <row r="296" ht="15.75" customHeight="1">
      <c r="C296" s="13"/>
      <c r="D296" s="13"/>
    </row>
    <row r="297" ht="15.75" customHeight="1">
      <c r="C297" s="13"/>
      <c r="D297" s="13"/>
    </row>
    <row r="298" ht="15.75" customHeight="1">
      <c r="C298" s="13"/>
      <c r="D298" s="13"/>
    </row>
    <row r="299" ht="15.75" customHeight="1">
      <c r="C299" s="13"/>
      <c r="D299" s="13"/>
    </row>
    <row r="300" ht="15.75" customHeight="1">
      <c r="C300" s="13"/>
      <c r="D300" s="13"/>
    </row>
    <row r="301" ht="15.75" customHeight="1">
      <c r="C301" s="13"/>
      <c r="D301" s="13"/>
    </row>
    <row r="302" ht="15.75" customHeight="1">
      <c r="C302" s="13"/>
      <c r="D302" s="13"/>
    </row>
    <row r="303" ht="15.75" customHeight="1">
      <c r="C303" s="13"/>
      <c r="D303" s="13"/>
    </row>
    <row r="304" ht="15.75" customHeight="1">
      <c r="C304" s="13"/>
      <c r="D304" s="13"/>
    </row>
    <row r="305" ht="15.75" customHeight="1">
      <c r="C305" s="13"/>
      <c r="D305" s="13"/>
    </row>
    <row r="306" ht="15.75" customHeight="1">
      <c r="C306" s="13"/>
      <c r="D306" s="13"/>
    </row>
    <row r="307" ht="15.75" customHeight="1">
      <c r="C307" s="13"/>
      <c r="D307" s="13"/>
    </row>
    <row r="308" ht="15.75" customHeight="1">
      <c r="C308" s="13"/>
      <c r="D308" s="13"/>
    </row>
    <row r="309" ht="15.75" customHeight="1">
      <c r="C309" s="13"/>
      <c r="D309" s="13"/>
    </row>
    <row r="310" ht="15.75" customHeight="1">
      <c r="C310" s="13"/>
      <c r="D310" s="13"/>
    </row>
    <row r="311" ht="15.75" customHeight="1">
      <c r="C311" s="13"/>
      <c r="D311" s="13"/>
    </row>
    <row r="312" ht="15.75" customHeight="1">
      <c r="C312" s="13"/>
      <c r="D312" s="13"/>
    </row>
    <row r="313" ht="15.75" customHeight="1">
      <c r="C313" s="13"/>
      <c r="D313" s="13"/>
    </row>
    <row r="314" ht="15.75" customHeight="1">
      <c r="C314" s="13"/>
      <c r="D314" s="13"/>
    </row>
    <row r="315" ht="15.75" customHeight="1">
      <c r="C315" s="13"/>
      <c r="D315" s="13"/>
    </row>
    <row r="316" ht="15.75" customHeight="1">
      <c r="C316" s="13"/>
      <c r="D316" s="13"/>
    </row>
    <row r="317" ht="15.75" customHeight="1">
      <c r="C317" s="13"/>
      <c r="D317" s="13"/>
    </row>
    <row r="318" ht="15.75" customHeight="1">
      <c r="C318" s="13"/>
      <c r="D318" s="13"/>
    </row>
    <row r="319" ht="15.75" customHeight="1">
      <c r="C319" s="13"/>
      <c r="D319" s="13"/>
    </row>
    <row r="320" ht="15.75" customHeight="1">
      <c r="C320" s="13"/>
      <c r="D320" s="13"/>
    </row>
    <row r="321" ht="15.75" customHeight="1">
      <c r="C321" s="13"/>
      <c r="D321" s="13"/>
    </row>
    <row r="322" ht="15.75" customHeight="1">
      <c r="C322" s="13"/>
      <c r="D322" s="13"/>
    </row>
    <row r="323" ht="15.75" customHeight="1">
      <c r="C323" s="13"/>
      <c r="D323" s="13"/>
    </row>
    <row r="324" ht="15.75" customHeight="1">
      <c r="C324" s="13"/>
      <c r="D324" s="13"/>
    </row>
    <row r="325" ht="15.75" customHeight="1">
      <c r="C325" s="13"/>
      <c r="D325" s="13"/>
    </row>
    <row r="326" ht="15.75" customHeight="1">
      <c r="C326" s="13"/>
      <c r="D326" s="13"/>
    </row>
    <row r="327" ht="15.75" customHeight="1">
      <c r="C327" s="13"/>
      <c r="D327" s="13"/>
    </row>
    <row r="328" ht="15.75" customHeight="1">
      <c r="C328" s="13"/>
      <c r="D328" s="13"/>
    </row>
    <row r="329" ht="15.75" customHeight="1">
      <c r="C329" s="13"/>
      <c r="D329" s="13"/>
    </row>
    <row r="330" ht="15.75" customHeight="1">
      <c r="C330" s="13"/>
      <c r="D330" s="13"/>
    </row>
    <row r="331" ht="15.75" customHeight="1">
      <c r="C331" s="13"/>
      <c r="D331" s="13"/>
    </row>
    <row r="332" ht="15.75" customHeight="1">
      <c r="C332" s="13"/>
      <c r="D332" s="13"/>
    </row>
    <row r="333" ht="15.75" customHeight="1">
      <c r="C333" s="13"/>
      <c r="D333" s="13"/>
    </row>
    <row r="334" ht="15.75" customHeight="1">
      <c r="C334" s="13"/>
      <c r="D334" s="13"/>
    </row>
    <row r="335" ht="15.75" customHeight="1">
      <c r="C335" s="13"/>
      <c r="D335" s="13"/>
    </row>
    <row r="336" ht="15.75" customHeight="1">
      <c r="C336" s="13"/>
      <c r="D336" s="13"/>
    </row>
    <row r="337" ht="15.75" customHeight="1">
      <c r="C337" s="13"/>
      <c r="D337" s="13"/>
    </row>
    <row r="338" ht="15.75" customHeight="1">
      <c r="C338" s="13"/>
      <c r="D338" s="13"/>
    </row>
    <row r="339" ht="15.75" customHeight="1">
      <c r="C339" s="13"/>
      <c r="D339" s="13"/>
    </row>
    <row r="340" ht="15.75" customHeight="1">
      <c r="C340" s="13"/>
      <c r="D340" s="13"/>
    </row>
    <row r="341" ht="15.75" customHeight="1">
      <c r="C341" s="13"/>
      <c r="D341" s="13"/>
    </row>
    <row r="342" ht="15.75" customHeight="1">
      <c r="C342" s="13"/>
      <c r="D342" s="13"/>
    </row>
    <row r="343" ht="15.75" customHeight="1">
      <c r="C343" s="13"/>
      <c r="D343" s="13"/>
    </row>
    <row r="344" ht="15.75" customHeight="1">
      <c r="C344" s="13"/>
      <c r="D344" s="13"/>
    </row>
    <row r="345" ht="15.75" customHeight="1">
      <c r="C345" s="13"/>
      <c r="D345" s="13"/>
    </row>
    <row r="346" ht="15.75" customHeight="1">
      <c r="C346" s="13"/>
      <c r="D346" s="13"/>
    </row>
    <row r="347" ht="15.75" customHeight="1">
      <c r="C347" s="13"/>
      <c r="D347" s="13"/>
    </row>
    <row r="348" ht="15.75" customHeight="1">
      <c r="C348" s="13"/>
      <c r="D348" s="13"/>
    </row>
    <row r="349" ht="15.75" customHeight="1">
      <c r="C349" s="13"/>
      <c r="D349" s="13"/>
    </row>
    <row r="350" ht="15.75" customHeight="1">
      <c r="C350" s="13"/>
      <c r="D350" s="13"/>
    </row>
    <row r="351" ht="15.75" customHeight="1">
      <c r="C351" s="13"/>
      <c r="D351" s="13"/>
    </row>
    <row r="352" ht="15.75" customHeight="1">
      <c r="C352" s="13"/>
      <c r="D352" s="13"/>
    </row>
    <row r="353" ht="15.75" customHeight="1">
      <c r="C353" s="13"/>
      <c r="D353" s="13"/>
    </row>
    <row r="354" ht="15.75" customHeight="1">
      <c r="C354" s="13"/>
      <c r="D354" s="13"/>
    </row>
    <row r="355" ht="15.75" customHeight="1">
      <c r="C355" s="13"/>
      <c r="D355" s="13"/>
    </row>
    <row r="356" ht="15.75" customHeight="1">
      <c r="C356" s="13"/>
      <c r="D356" s="13"/>
    </row>
    <row r="357" ht="15.75" customHeight="1">
      <c r="C357" s="13"/>
      <c r="D357" s="13"/>
    </row>
    <row r="358" ht="15.75" customHeight="1">
      <c r="C358" s="13"/>
      <c r="D358" s="13"/>
    </row>
    <row r="359" ht="15.75" customHeight="1">
      <c r="C359" s="13"/>
      <c r="D359" s="13"/>
    </row>
    <row r="360" ht="15.75" customHeight="1">
      <c r="C360" s="13"/>
      <c r="D360" s="13"/>
    </row>
    <row r="361" ht="15.75" customHeight="1">
      <c r="C361" s="13"/>
      <c r="D361" s="13"/>
    </row>
    <row r="362" ht="15.75" customHeight="1">
      <c r="C362" s="13"/>
      <c r="D362" s="13"/>
    </row>
    <row r="363" ht="15.75" customHeight="1">
      <c r="C363" s="13"/>
      <c r="D363" s="13"/>
    </row>
    <row r="364" ht="15.75" customHeight="1">
      <c r="C364" s="13"/>
      <c r="D364" s="13"/>
    </row>
    <row r="365" ht="15.75" customHeight="1">
      <c r="C365" s="13"/>
      <c r="D365" s="13"/>
    </row>
    <row r="366" ht="15.75" customHeight="1">
      <c r="C366" s="13"/>
      <c r="D366" s="13"/>
    </row>
    <row r="367" ht="15.75" customHeight="1">
      <c r="C367" s="13"/>
      <c r="D367" s="13"/>
    </row>
    <row r="368" ht="15.75" customHeight="1">
      <c r="C368" s="13"/>
      <c r="D368" s="13"/>
    </row>
    <row r="369" ht="15.75" customHeight="1">
      <c r="C369" s="13"/>
      <c r="D369" s="13"/>
    </row>
    <row r="370" ht="15.75" customHeight="1">
      <c r="C370" s="13"/>
      <c r="D370" s="13"/>
    </row>
    <row r="371" ht="15.75" customHeight="1">
      <c r="C371" s="13"/>
      <c r="D371" s="13"/>
    </row>
    <row r="372" ht="15.75" customHeight="1">
      <c r="C372" s="13"/>
      <c r="D372" s="13"/>
    </row>
    <row r="373" ht="15.75" customHeight="1">
      <c r="C373" s="13"/>
      <c r="D373" s="13"/>
    </row>
    <row r="374" ht="15.75" customHeight="1">
      <c r="C374" s="13"/>
      <c r="D374" s="13"/>
    </row>
    <row r="375" ht="15.75" customHeight="1">
      <c r="C375" s="13"/>
      <c r="D375" s="13"/>
    </row>
    <row r="376" ht="15.75" customHeight="1">
      <c r="C376" s="13"/>
      <c r="D376" s="13"/>
    </row>
    <row r="377" ht="15.75" customHeight="1">
      <c r="C377" s="13"/>
      <c r="D377" s="13"/>
    </row>
    <row r="378" ht="15.75" customHeight="1">
      <c r="C378" s="13"/>
      <c r="D378" s="13"/>
    </row>
    <row r="379" ht="15.75" customHeight="1">
      <c r="C379" s="13"/>
      <c r="D379" s="13"/>
    </row>
    <row r="380" ht="15.75" customHeight="1">
      <c r="C380" s="13"/>
      <c r="D380" s="13"/>
    </row>
    <row r="381" ht="15.75" customHeight="1">
      <c r="C381" s="13"/>
      <c r="D381" s="13"/>
    </row>
    <row r="382" ht="15.75" customHeight="1">
      <c r="C382" s="13"/>
      <c r="D382" s="13"/>
    </row>
    <row r="383" ht="15.75" customHeight="1">
      <c r="C383" s="13"/>
      <c r="D383" s="13"/>
    </row>
    <row r="384" ht="15.75" customHeight="1">
      <c r="C384" s="13"/>
      <c r="D384" s="13"/>
    </row>
    <row r="385" ht="15.75" customHeight="1">
      <c r="C385" s="13"/>
      <c r="D385" s="13"/>
    </row>
    <row r="386" ht="15.75" customHeight="1">
      <c r="C386" s="13"/>
      <c r="D386" s="13"/>
    </row>
    <row r="387" ht="15.75" customHeight="1">
      <c r="C387" s="13"/>
      <c r="D387" s="13"/>
    </row>
    <row r="388" ht="15.75" customHeight="1">
      <c r="C388" s="13"/>
      <c r="D388" s="13"/>
    </row>
    <row r="389" ht="15.75" customHeight="1">
      <c r="C389" s="13"/>
      <c r="D389" s="13"/>
    </row>
    <row r="390" ht="15.75" customHeight="1">
      <c r="C390" s="13"/>
      <c r="D390" s="13"/>
    </row>
    <row r="391" ht="15.75" customHeight="1">
      <c r="C391" s="13"/>
      <c r="D391" s="13"/>
    </row>
    <row r="392" ht="15.75" customHeight="1">
      <c r="C392" s="13"/>
      <c r="D392" s="13"/>
    </row>
    <row r="393" ht="15.75" customHeight="1">
      <c r="C393" s="13"/>
      <c r="D393" s="13"/>
    </row>
    <row r="394" ht="15.75" customHeight="1">
      <c r="C394" s="13"/>
      <c r="D394" s="13"/>
    </row>
    <row r="395" ht="15.75" customHeight="1">
      <c r="C395" s="13"/>
      <c r="D395" s="13"/>
    </row>
    <row r="396" ht="15.75" customHeight="1">
      <c r="C396" s="13"/>
      <c r="D396" s="13"/>
    </row>
    <row r="397" ht="15.75" customHeight="1">
      <c r="C397" s="13"/>
      <c r="D397" s="13"/>
    </row>
    <row r="398" ht="15.75" customHeight="1">
      <c r="C398" s="13"/>
      <c r="D398" s="13"/>
    </row>
    <row r="399" ht="15.75" customHeight="1">
      <c r="C399" s="13"/>
      <c r="D399" s="13"/>
    </row>
    <row r="400" ht="15.75" customHeight="1">
      <c r="C400" s="13"/>
      <c r="D400" s="13"/>
    </row>
    <row r="401" ht="15.75" customHeight="1">
      <c r="C401" s="13"/>
      <c r="D401" s="13"/>
    </row>
    <row r="402" ht="15.75" customHeight="1">
      <c r="C402" s="13"/>
      <c r="D402" s="13"/>
    </row>
    <row r="403" ht="15.75" customHeight="1">
      <c r="C403" s="13"/>
      <c r="D403" s="13"/>
    </row>
    <row r="404" ht="15.75" customHeight="1">
      <c r="C404" s="13"/>
      <c r="D404" s="13"/>
    </row>
    <row r="405" ht="15.75" customHeight="1">
      <c r="C405" s="13"/>
      <c r="D405" s="13"/>
    </row>
    <row r="406" ht="15.75" customHeight="1">
      <c r="C406" s="13"/>
      <c r="D406" s="13"/>
    </row>
    <row r="407" ht="15.75" customHeight="1">
      <c r="C407" s="13"/>
      <c r="D407" s="13"/>
    </row>
    <row r="408" ht="15.75" customHeight="1">
      <c r="C408" s="13"/>
      <c r="D408" s="13"/>
    </row>
    <row r="409" ht="15.75" customHeight="1">
      <c r="C409" s="13"/>
      <c r="D409" s="13"/>
    </row>
    <row r="410" ht="15.75" customHeight="1">
      <c r="C410" s="13"/>
      <c r="D410" s="13"/>
    </row>
    <row r="411" ht="15.75" customHeight="1">
      <c r="C411" s="13"/>
      <c r="D411" s="13"/>
    </row>
    <row r="412" ht="15.75" customHeight="1">
      <c r="C412" s="13"/>
      <c r="D412" s="13"/>
    </row>
    <row r="413" ht="15.75" customHeight="1">
      <c r="C413" s="13"/>
      <c r="D413" s="13"/>
    </row>
    <row r="414" ht="15.75" customHeight="1">
      <c r="C414" s="13"/>
      <c r="D414" s="13"/>
    </row>
    <row r="415" ht="15.75" customHeight="1">
      <c r="C415" s="13"/>
      <c r="D415" s="13"/>
    </row>
    <row r="416" ht="15.75" customHeight="1">
      <c r="C416" s="13"/>
      <c r="D416" s="13"/>
    </row>
    <row r="417" ht="15.75" customHeight="1">
      <c r="C417" s="13"/>
      <c r="D417" s="13"/>
    </row>
    <row r="418" ht="15.75" customHeight="1">
      <c r="C418" s="13"/>
      <c r="D418" s="13"/>
    </row>
    <row r="419" ht="15.75" customHeight="1">
      <c r="C419" s="13"/>
      <c r="D419" s="13"/>
    </row>
    <row r="420" ht="15.75" customHeight="1">
      <c r="C420" s="13"/>
      <c r="D420" s="13"/>
    </row>
    <row r="421" ht="15.75" customHeight="1">
      <c r="C421" s="13"/>
      <c r="D421" s="13"/>
    </row>
    <row r="422" ht="15.75" customHeight="1">
      <c r="C422" s="13"/>
      <c r="D422" s="13"/>
    </row>
    <row r="423" ht="15.75" customHeight="1">
      <c r="C423" s="13"/>
      <c r="D423" s="13"/>
    </row>
    <row r="424" ht="15.75" customHeight="1">
      <c r="C424" s="13"/>
      <c r="D424" s="13"/>
    </row>
    <row r="425" ht="15.75" customHeight="1">
      <c r="C425" s="13"/>
      <c r="D425" s="13"/>
    </row>
    <row r="426" ht="15.75" customHeight="1">
      <c r="C426" s="13"/>
      <c r="D426" s="13"/>
    </row>
    <row r="427" ht="15.75" customHeight="1">
      <c r="C427" s="13"/>
      <c r="D427" s="13"/>
    </row>
    <row r="428" ht="15.75" customHeight="1">
      <c r="C428" s="13"/>
      <c r="D428" s="13"/>
    </row>
    <row r="429" ht="15.75" customHeight="1">
      <c r="C429" s="13"/>
      <c r="D429" s="13"/>
    </row>
    <row r="430" ht="15.75" customHeight="1">
      <c r="C430" s="13"/>
      <c r="D430" s="13"/>
    </row>
    <row r="431" ht="15.75" customHeight="1">
      <c r="C431" s="13"/>
      <c r="D431" s="13"/>
    </row>
    <row r="432" ht="15.75" customHeight="1">
      <c r="C432" s="13"/>
      <c r="D432" s="13"/>
    </row>
    <row r="433" ht="15.75" customHeight="1">
      <c r="C433" s="13"/>
      <c r="D433" s="13"/>
    </row>
    <row r="434" ht="15.75" customHeight="1">
      <c r="C434" s="13"/>
      <c r="D434" s="13"/>
    </row>
    <row r="435" ht="15.75" customHeight="1">
      <c r="C435" s="13"/>
      <c r="D435" s="13"/>
    </row>
    <row r="436" ht="15.75" customHeight="1">
      <c r="C436" s="13"/>
      <c r="D436" s="13"/>
    </row>
    <row r="437" ht="15.75" customHeight="1">
      <c r="C437" s="13"/>
      <c r="D437" s="13"/>
    </row>
    <row r="438" ht="15.75" customHeight="1">
      <c r="C438" s="13"/>
      <c r="D438" s="13"/>
    </row>
    <row r="439" ht="15.75" customHeight="1">
      <c r="C439" s="13"/>
      <c r="D439" s="13"/>
    </row>
    <row r="440" ht="15.75" customHeight="1">
      <c r="C440" s="13"/>
      <c r="D440" s="13"/>
    </row>
    <row r="441" ht="15.75" customHeight="1">
      <c r="C441" s="13"/>
      <c r="D441" s="13"/>
    </row>
    <row r="442" ht="15.75" customHeight="1">
      <c r="C442" s="13"/>
      <c r="D442" s="13"/>
    </row>
    <row r="443" ht="15.75" customHeight="1">
      <c r="C443" s="13"/>
      <c r="D443" s="13"/>
    </row>
    <row r="444" ht="15.75" customHeight="1">
      <c r="C444" s="13"/>
      <c r="D444" s="13"/>
    </row>
    <row r="445" ht="15.75" customHeight="1">
      <c r="C445" s="13"/>
      <c r="D445" s="13"/>
    </row>
    <row r="446" ht="15.75" customHeight="1">
      <c r="C446" s="13"/>
      <c r="D446" s="13"/>
    </row>
    <row r="447" ht="15.75" customHeight="1">
      <c r="C447" s="13"/>
      <c r="D447" s="13"/>
    </row>
    <row r="448" ht="15.75" customHeight="1">
      <c r="C448" s="13"/>
      <c r="D448" s="13"/>
    </row>
    <row r="449" ht="15.75" customHeight="1">
      <c r="C449" s="13"/>
      <c r="D449" s="13"/>
    </row>
    <row r="450" ht="15.75" customHeight="1">
      <c r="C450" s="13"/>
      <c r="D450" s="13"/>
    </row>
    <row r="451" ht="15.75" customHeight="1">
      <c r="C451" s="13"/>
      <c r="D451" s="13"/>
    </row>
    <row r="452" ht="15.75" customHeight="1">
      <c r="C452" s="13"/>
      <c r="D452" s="13"/>
    </row>
    <row r="453" ht="15.75" customHeight="1">
      <c r="C453" s="13"/>
      <c r="D453" s="13"/>
    </row>
    <row r="454" ht="15.75" customHeight="1">
      <c r="C454" s="13"/>
      <c r="D454" s="13"/>
    </row>
    <row r="455" ht="15.75" customHeight="1">
      <c r="C455" s="13"/>
      <c r="D455" s="13"/>
    </row>
    <row r="456" ht="15.75" customHeight="1">
      <c r="C456" s="13"/>
      <c r="D456" s="13"/>
    </row>
    <row r="457" ht="15.75" customHeight="1">
      <c r="C457" s="13"/>
      <c r="D457" s="13"/>
    </row>
    <row r="458" ht="15.75" customHeight="1">
      <c r="C458" s="13"/>
      <c r="D458" s="13"/>
    </row>
    <row r="459" ht="15.75" customHeight="1">
      <c r="C459" s="13"/>
      <c r="D459" s="13"/>
    </row>
    <row r="460" ht="15.75" customHeight="1">
      <c r="C460" s="13"/>
      <c r="D460" s="13"/>
    </row>
    <row r="461" ht="15.75" customHeight="1">
      <c r="C461" s="13"/>
      <c r="D461" s="13"/>
    </row>
    <row r="462" ht="15.75" customHeight="1">
      <c r="C462" s="13"/>
      <c r="D462" s="13"/>
    </row>
    <row r="463" ht="15.75" customHeight="1">
      <c r="C463" s="13"/>
      <c r="D463" s="13"/>
    </row>
    <row r="464" ht="15.75" customHeight="1">
      <c r="C464" s="13"/>
      <c r="D464" s="13"/>
    </row>
    <row r="465" ht="15.75" customHeight="1">
      <c r="C465" s="13"/>
      <c r="D465" s="13"/>
    </row>
    <row r="466" ht="15.75" customHeight="1">
      <c r="C466" s="13"/>
      <c r="D466" s="13"/>
    </row>
    <row r="467" ht="15.75" customHeight="1">
      <c r="C467" s="13"/>
      <c r="D467" s="13"/>
    </row>
    <row r="468" ht="15.75" customHeight="1">
      <c r="C468" s="13"/>
      <c r="D468" s="13"/>
    </row>
    <row r="469" ht="15.75" customHeight="1">
      <c r="C469" s="13"/>
      <c r="D469" s="13"/>
    </row>
    <row r="470" ht="15.75" customHeight="1">
      <c r="C470" s="13"/>
      <c r="D470" s="13"/>
    </row>
    <row r="471" ht="15.75" customHeight="1">
      <c r="C471" s="13"/>
      <c r="D471" s="13"/>
    </row>
    <row r="472" ht="15.75" customHeight="1">
      <c r="C472" s="13"/>
      <c r="D472" s="13"/>
    </row>
    <row r="473" ht="15.75" customHeight="1">
      <c r="C473" s="13"/>
      <c r="D473" s="13"/>
    </row>
    <row r="474" ht="15.75" customHeight="1">
      <c r="C474" s="13"/>
      <c r="D474" s="13"/>
    </row>
    <row r="475" ht="15.75" customHeight="1">
      <c r="C475" s="13"/>
      <c r="D475" s="13"/>
    </row>
    <row r="476" ht="15.75" customHeight="1">
      <c r="C476" s="13"/>
      <c r="D476" s="13"/>
    </row>
    <row r="477" ht="15.75" customHeight="1">
      <c r="C477" s="13"/>
      <c r="D477" s="13"/>
    </row>
    <row r="478" ht="15.75" customHeight="1">
      <c r="C478" s="13"/>
      <c r="D478" s="13"/>
    </row>
    <row r="479" ht="15.75" customHeight="1">
      <c r="C479" s="13"/>
      <c r="D479" s="13"/>
    </row>
    <row r="480" ht="15.75" customHeight="1">
      <c r="C480" s="13"/>
      <c r="D480" s="13"/>
    </row>
    <row r="481" ht="15.75" customHeight="1">
      <c r="C481" s="13"/>
      <c r="D481" s="13"/>
    </row>
    <row r="482" ht="15.75" customHeight="1">
      <c r="C482" s="13"/>
      <c r="D482" s="13"/>
    </row>
    <row r="483" ht="15.75" customHeight="1">
      <c r="C483" s="13"/>
      <c r="D483" s="13"/>
    </row>
    <row r="484" ht="15.75" customHeight="1">
      <c r="C484" s="13"/>
      <c r="D484" s="13"/>
    </row>
    <row r="485" ht="15.75" customHeight="1">
      <c r="C485" s="13"/>
      <c r="D485" s="13"/>
    </row>
    <row r="486" ht="15.75" customHeight="1">
      <c r="C486" s="13"/>
      <c r="D486" s="13"/>
    </row>
    <row r="487" ht="15.75" customHeight="1">
      <c r="C487" s="13"/>
      <c r="D487" s="13"/>
    </row>
    <row r="488" ht="15.75" customHeight="1">
      <c r="C488" s="13"/>
      <c r="D488" s="13"/>
    </row>
    <row r="489" ht="15.75" customHeight="1">
      <c r="C489" s="13"/>
      <c r="D489" s="13"/>
    </row>
    <row r="490" ht="15.75" customHeight="1">
      <c r="C490" s="13"/>
      <c r="D490" s="13"/>
    </row>
    <row r="491" ht="15.75" customHeight="1">
      <c r="C491" s="13"/>
      <c r="D491" s="13"/>
    </row>
    <row r="492" ht="15.75" customHeight="1">
      <c r="C492" s="13"/>
      <c r="D492" s="13"/>
    </row>
    <row r="493" ht="15.75" customHeight="1">
      <c r="C493" s="13"/>
      <c r="D493" s="13"/>
    </row>
    <row r="494" ht="15.75" customHeight="1">
      <c r="C494" s="13"/>
      <c r="D494" s="13"/>
    </row>
    <row r="495" ht="15.75" customHeight="1">
      <c r="C495" s="13"/>
      <c r="D495" s="13"/>
    </row>
    <row r="496" ht="15.75" customHeight="1">
      <c r="C496" s="13"/>
      <c r="D496" s="13"/>
    </row>
    <row r="497" ht="15.75" customHeight="1">
      <c r="C497" s="13"/>
      <c r="D497" s="13"/>
    </row>
    <row r="498" ht="15.75" customHeight="1">
      <c r="C498" s="13"/>
      <c r="D498" s="13"/>
    </row>
    <row r="499" ht="15.75" customHeight="1">
      <c r="C499" s="13"/>
      <c r="D499" s="13"/>
    </row>
    <row r="500" ht="15.75" customHeight="1">
      <c r="C500" s="13"/>
      <c r="D500" s="13"/>
    </row>
    <row r="501" ht="15.75" customHeight="1">
      <c r="C501" s="13"/>
      <c r="D501" s="13"/>
    </row>
    <row r="502" ht="15.75" customHeight="1">
      <c r="C502" s="13"/>
      <c r="D502" s="13"/>
    </row>
    <row r="503" ht="15.75" customHeight="1">
      <c r="C503" s="13"/>
      <c r="D503" s="13"/>
    </row>
    <row r="504" ht="15.75" customHeight="1">
      <c r="C504" s="13"/>
      <c r="D504" s="13"/>
    </row>
    <row r="505" ht="15.75" customHeight="1">
      <c r="C505" s="13"/>
      <c r="D505" s="13"/>
    </row>
    <row r="506" ht="15.75" customHeight="1">
      <c r="C506" s="13"/>
      <c r="D506" s="13"/>
    </row>
    <row r="507" ht="15.75" customHeight="1">
      <c r="C507" s="13"/>
      <c r="D507" s="13"/>
    </row>
    <row r="508" ht="15.75" customHeight="1">
      <c r="C508" s="13"/>
      <c r="D508" s="13"/>
    </row>
    <row r="509" ht="15.75" customHeight="1">
      <c r="C509" s="13"/>
      <c r="D509" s="13"/>
    </row>
    <row r="510" ht="15.75" customHeight="1">
      <c r="C510" s="13"/>
      <c r="D510" s="13"/>
    </row>
    <row r="511" ht="15.75" customHeight="1">
      <c r="C511" s="13"/>
      <c r="D511" s="13"/>
    </row>
    <row r="512" ht="15.75" customHeight="1">
      <c r="C512" s="13"/>
      <c r="D512" s="13"/>
    </row>
    <row r="513" ht="15.75" customHeight="1">
      <c r="C513" s="13"/>
      <c r="D513" s="13"/>
    </row>
    <row r="514" ht="15.75" customHeight="1">
      <c r="C514" s="13"/>
      <c r="D514" s="13"/>
    </row>
    <row r="515" ht="15.75" customHeight="1">
      <c r="C515" s="13"/>
      <c r="D515" s="13"/>
    </row>
    <row r="516" ht="15.75" customHeight="1">
      <c r="C516" s="13"/>
      <c r="D516" s="13"/>
    </row>
    <row r="517" ht="15.75" customHeight="1">
      <c r="C517" s="13"/>
      <c r="D517" s="13"/>
    </row>
    <row r="518" ht="15.75" customHeight="1">
      <c r="C518" s="13"/>
      <c r="D518" s="13"/>
    </row>
    <row r="519" ht="15.75" customHeight="1">
      <c r="C519" s="13"/>
      <c r="D519" s="13"/>
    </row>
    <row r="520" ht="15.75" customHeight="1">
      <c r="C520" s="13"/>
      <c r="D520" s="13"/>
    </row>
    <row r="521" ht="15.75" customHeight="1">
      <c r="C521" s="13"/>
      <c r="D521" s="13"/>
    </row>
    <row r="522" ht="15.75" customHeight="1">
      <c r="C522" s="13"/>
      <c r="D522" s="13"/>
    </row>
    <row r="523" ht="15.75" customHeight="1">
      <c r="C523" s="13"/>
      <c r="D523" s="13"/>
    </row>
    <row r="524" ht="15.75" customHeight="1">
      <c r="C524" s="13"/>
      <c r="D524" s="13"/>
    </row>
    <row r="525" ht="15.75" customHeight="1">
      <c r="C525" s="13"/>
      <c r="D525" s="13"/>
    </row>
    <row r="526" ht="15.75" customHeight="1">
      <c r="C526" s="13"/>
      <c r="D526" s="13"/>
    </row>
    <row r="527" ht="15.75" customHeight="1">
      <c r="C527" s="13"/>
      <c r="D527" s="13"/>
    </row>
    <row r="528" ht="15.75" customHeight="1">
      <c r="C528" s="13"/>
      <c r="D528" s="13"/>
    </row>
    <row r="529" ht="15.75" customHeight="1">
      <c r="C529" s="13"/>
      <c r="D529" s="13"/>
    </row>
    <row r="530" ht="15.75" customHeight="1">
      <c r="C530" s="13"/>
      <c r="D530" s="13"/>
    </row>
    <row r="531" ht="15.75" customHeight="1">
      <c r="C531" s="13"/>
      <c r="D531" s="13"/>
    </row>
    <row r="532" ht="15.75" customHeight="1">
      <c r="C532" s="13"/>
      <c r="D532" s="13"/>
    </row>
    <row r="533" ht="15.75" customHeight="1">
      <c r="C533" s="13"/>
      <c r="D533" s="13"/>
    </row>
    <row r="534" ht="15.75" customHeight="1">
      <c r="C534" s="13"/>
      <c r="D534" s="13"/>
    </row>
    <row r="535" ht="15.75" customHeight="1">
      <c r="C535" s="13"/>
      <c r="D535" s="13"/>
    </row>
    <row r="536" ht="15.75" customHeight="1">
      <c r="C536" s="13"/>
      <c r="D536" s="13"/>
    </row>
    <row r="537" ht="15.75" customHeight="1">
      <c r="C537" s="13"/>
      <c r="D537" s="13"/>
    </row>
    <row r="538" ht="15.75" customHeight="1">
      <c r="C538" s="13"/>
      <c r="D538" s="13"/>
    </row>
    <row r="539" ht="15.75" customHeight="1">
      <c r="C539" s="13"/>
      <c r="D539" s="13"/>
    </row>
    <row r="540" ht="15.75" customHeight="1">
      <c r="C540" s="13"/>
      <c r="D540" s="13"/>
    </row>
    <row r="541" ht="15.75" customHeight="1">
      <c r="C541" s="13"/>
      <c r="D541" s="13"/>
    </row>
    <row r="542" ht="15.75" customHeight="1">
      <c r="C542" s="13"/>
      <c r="D542" s="13"/>
    </row>
    <row r="543" ht="15.75" customHeight="1">
      <c r="C543" s="13"/>
      <c r="D543" s="13"/>
    </row>
    <row r="544" ht="15.75" customHeight="1">
      <c r="C544" s="13"/>
      <c r="D544" s="13"/>
    </row>
    <row r="545" ht="15.75" customHeight="1">
      <c r="C545" s="13"/>
      <c r="D545" s="13"/>
    </row>
    <row r="546" ht="15.75" customHeight="1">
      <c r="C546" s="13"/>
      <c r="D546" s="13"/>
    </row>
    <row r="547" ht="15.75" customHeight="1">
      <c r="C547" s="13"/>
      <c r="D547" s="13"/>
    </row>
    <row r="548" ht="15.75" customHeight="1">
      <c r="C548" s="13"/>
      <c r="D548" s="13"/>
    </row>
    <row r="549" ht="15.75" customHeight="1">
      <c r="C549" s="13"/>
      <c r="D549" s="13"/>
    </row>
    <row r="550" ht="15.75" customHeight="1">
      <c r="C550" s="13"/>
      <c r="D550" s="13"/>
    </row>
    <row r="551" ht="15.75" customHeight="1">
      <c r="C551" s="13"/>
      <c r="D551" s="13"/>
    </row>
    <row r="552" ht="15.75" customHeight="1">
      <c r="C552" s="13"/>
      <c r="D552" s="13"/>
    </row>
    <row r="553" ht="15.75" customHeight="1">
      <c r="C553" s="13"/>
      <c r="D553" s="13"/>
    </row>
    <row r="554" ht="15.75" customHeight="1">
      <c r="C554" s="13"/>
      <c r="D554" s="13"/>
    </row>
    <row r="555" ht="15.75" customHeight="1">
      <c r="C555" s="13"/>
      <c r="D555" s="13"/>
    </row>
    <row r="556" ht="15.75" customHeight="1">
      <c r="C556" s="13"/>
      <c r="D556" s="13"/>
    </row>
    <row r="557" ht="15.75" customHeight="1">
      <c r="C557" s="13"/>
      <c r="D557" s="13"/>
    </row>
    <row r="558" ht="15.75" customHeight="1">
      <c r="C558" s="13"/>
      <c r="D558" s="13"/>
    </row>
    <row r="559" ht="15.75" customHeight="1">
      <c r="C559" s="13"/>
      <c r="D559" s="13"/>
    </row>
    <row r="560" ht="15.75" customHeight="1">
      <c r="C560" s="13"/>
      <c r="D560" s="13"/>
    </row>
    <row r="561" ht="15.75" customHeight="1">
      <c r="C561" s="13"/>
      <c r="D561" s="13"/>
    </row>
    <row r="562" ht="15.75" customHeight="1">
      <c r="C562" s="13"/>
      <c r="D562" s="13"/>
    </row>
    <row r="563" ht="15.75" customHeight="1">
      <c r="C563" s="13"/>
      <c r="D563" s="13"/>
    </row>
    <row r="564" ht="15.75" customHeight="1">
      <c r="C564" s="13"/>
      <c r="D564" s="13"/>
    </row>
    <row r="565" ht="15.75" customHeight="1">
      <c r="C565" s="13"/>
      <c r="D565" s="13"/>
    </row>
    <row r="566" ht="15.75" customHeight="1">
      <c r="C566" s="13"/>
      <c r="D566" s="13"/>
    </row>
    <row r="567" ht="15.75" customHeight="1">
      <c r="C567" s="13"/>
      <c r="D567" s="13"/>
    </row>
    <row r="568" ht="15.75" customHeight="1">
      <c r="C568" s="13"/>
      <c r="D568" s="13"/>
    </row>
    <row r="569" ht="15.75" customHeight="1">
      <c r="C569" s="13"/>
      <c r="D569" s="13"/>
    </row>
    <row r="570" ht="15.75" customHeight="1">
      <c r="C570" s="13"/>
      <c r="D570" s="13"/>
    </row>
    <row r="571" ht="15.75" customHeight="1">
      <c r="C571" s="13"/>
      <c r="D571" s="13"/>
    </row>
    <row r="572" ht="15.75" customHeight="1">
      <c r="C572" s="13"/>
      <c r="D572" s="13"/>
    </row>
    <row r="573" ht="15.75" customHeight="1">
      <c r="C573" s="13"/>
      <c r="D573" s="13"/>
    </row>
    <row r="574" ht="15.75" customHeight="1">
      <c r="C574" s="13"/>
      <c r="D574" s="13"/>
    </row>
    <row r="575" ht="15.75" customHeight="1">
      <c r="C575" s="13"/>
      <c r="D575" s="13"/>
    </row>
    <row r="576" ht="15.75" customHeight="1">
      <c r="C576" s="13"/>
      <c r="D576" s="13"/>
    </row>
    <row r="577" ht="15.75" customHeight="1">
      <c r="C577" s="13"/>
      <c r="D577" s="13"/>
    </row>
    <row r="578" ht="15.75" customHeight="1">
      <c r="C578" s="13"/>
      <c r="D578" s="13"/>
    </row>
    <row r="579" ht="15.75" customHeight="1">
      <c r="C579" s="13"/>
      <c r="D579" s="13"/>
    </row>
    <row r="580" ht="15.75" customHeight="1">
      <c r="C580" s="13"/>
      <c r="D580" s="13"/>
    </row>
    <row r="581" ht="15.75" customHeight="1">
      <c r="C581" s="13"/>
      <c r="D581" s="13"/>
    </row>
    <row r="582" ht="15.75" customHeight="1">
      <c r="C582" s="13"/>
      <c r="D582" s="13"/>
    </row>
    <row r="583" ht="15.75" customHeight="1">
      <c r="C583" s="13"/>
      <c r="D583" s="13"/>
    </row>
    <row r="584" ht="15.75" customHeight="1">
      <c r="C584" s="13"/>
      <c r="D584" s="13"/>
    </row>
    <row r="585" ht="15.75" customHeight="1">
      <c r="C585" s="13"/>
      <c r="D585" s="13"/>
    </row>
    <row r="586" ht="15.75" customHeight="1">
      <c r="C586" s="13"/>
      <c r="D586" s="13"/>
    </row>
    <row r="587" ht="15.75" customHeight="1">
      <c r="C587" s="13"/>
      <c r="D587" s="13"/>
    </row>
    <row r="588" ht="15.75" customHeight="1">
      <c r="C588" s="13"/>
      <c r="D588" s="13"/>
    </row>
    <row r="589" ht="15.75" customHeight="1">
      <c r="C589" s="13"/>
      <c r="D589" s="13"/>
    </row>
    <row r="590" ht="15.75" customHeight="1">
      <c r="C590" s="13"/>
      <c r="D590" s="13"/>
    </row>
    <row r="591" ht="15.75" customHeight="1">
      <c r="C591" s="13"/>
      <c r="D591" s="13"/>
    </row>
    <row r="592" ht="15.75" customHeight="1">
      <c r="C592" s="13"/>
      <c r="D592" s="13"/>
    </row>
    <row r="593" ht="15.75" customHeight="1">
      <c r="C593" s="13"/>
      <c r="D593" s="13"/>
    </row>
    <row r="594" ht="15.75" customHeight="1">
      <c r="C594" s="13"/>
      <c r="D594" s="13"/>
    </row>
    <row r="595" ht="15.75" customHeight="1">
      <c r="C595" s="13"/>
      <c r="D595" s="13"/>
    </row>
    <row r="596" ht="15.75" customHeight="1">
      <c r="C596" s="13"/>
      <c r="D596" s="13"/>
    </row>
    <row r="597" ht="15.75" customHeight="1">
      <c r="C597" s="13"/>
      <c r="D597" s="13"/>
    </row>
    <row r="598" ht="15.75" customHeight="1">
      <c r="C598" s="13"/>
      <c r="D598" s="13"/>
    </row>
    <row r="599" ht="15.75" customHeight="1">
      <c r="C599" s="13"/>
      <c r="D599" s="13"/>
    </row>
    <row r="600" ht="15.75" customHeight="1">
      <c r="C600" s="13"/>
      <c r="D600" s="13"/>
    </row>
    <row r="601" ht="15.75" customHeight="1">
      <c r="C601" s="13"/>
      <c r="D601" s="13"/>
    </row>
    <row r="602" ht="15.75" customHeight="1">
      <c r="C602" s="13"/>
      <c r="D602" s="13"/>
    </row>
    <row r="603" ht="15.75" customHeight="1">
      <c r="C603" s="13"/>
      <c r="D603" s="13"/>
    </row>
    <row r="604" ht="15.75" customHeight="1">
      <c r="C604" s="13"/>
      <c r="D604" s="13"/>
    </row>
    <row r="605" ht="15.75" customHeight="1">
      <c r="C605" s="13"/>
      <c r="D605" s="13"/>
    </row>
    <row r="606" ht="15.75" customHeight="1">
      <c r="C606" s="13"/>
      <c r="D606" s="13"/>
    </row>
    <row r="607" ht="15.75" customHeight="1">
      <c r="C607" s="13"/>
      <c r="D607" s="13"/>
    </row>
    <row r="608" ht="15.75" customHeight="1">
      <c r="C608" s="13"/>
      <c r="D608" s="13"/>
    </row>
    <row r="609" ht="15.75" customHeight="1">
      <c r="C609" s="13"/>
      <c r="D609" s="13"/>
    </row>
    <row r="610" ht="15.75" customHeight="1">
      <c r="C610" s="13"/>
      <c r="D610" s="13"/>
    </row>
    <row r="611" ht="15.75" customHeight="1">
      <c r="C611" s="13"/>
      <c r="D611" s="13"/>
    </row>
    <row r="612" ht="15.75" customHeight="1">
      <c r="C612" s="13"/>
      <c r="D612" s="13"/>
    </row>
    <row r="613" ht="15.75" customHeight="1">
      <c r="C613" s="13"/>
      <c r="D613" s="13"/>
    </row>
    <row r="614" ht="15.75" customHeight="1">
      <c r="C614" s="13"/>
      <c r="D614" s="13"/>
    </row>
    <row r="615" ht="15.75" customHeight="1">
      <c r="C615" s="13"/>
      <c r="D615" s="13"/>
    </row>
    <row r="616" ht="15.75" customHeight="1">
      <c r="C616" s="13"/>
      <c r="D616" s="13"/>
    </row>
    <row r="617" ht="15.75" customHeight="1">
      <c r="C617" s="13"/>
      <c r="D617" s="13"/>
    </row>
    <row r="618" ht="15.75" customHeight="1">
      <c r="C618" s="13"/>
      <c r="D618" s="13"/>
    </row>
    <row r="619" ht="15.75" customHeight="1">
      <c r="C619" s="13"/>
      <c r="D619" s="13"/>
    </row>
    <row r="620" ht="15.75" customHeight="1">
      <c r="C620" s="13"/>
      <c r="D620" s="13"/>
    </row>
    <row r="621" ht="15.75" customHeight="1">
      <c r="C621" s="13"/>
      <c r="D621" s="13"/>
    </row>
    <row r="622" ht="15.75" customHeight="1">
      <c r="C622" s="13"/>
      <c r="D622" s="13"/>
    </row>
    <row r="623" ht="15.75" customHeight="1">
      <c r="C623" s="13"/>
      <c r="D623" s="13"/>
    </row>
    <row r="624" ht="15.75" customHeight="1">
      <c r="C624" s="13"/>
      <c r="D624" s="13"/>
    </row>
    <row r="625" ht="15.75" customHeight="1">
      <c r="C625" s="13"/>
      <c r="D625" s="13"/>
    </row>
    <row r="626" ht="15.75" customHeight="1">
      <c r="C626" s="13"/>
      <c r="D626" s="13"/>
    </row>
    <row r="627" ht="15.75" customHeight="1">
      <c r="C627" s="13"/>
      <c r="D627" s="13"/>
    </row>
    <row r="628" ht="15.75" customHeight="1">
      <c r="C628" s="13"/>
      <c r="D628" s="13"/>
    </row>
    <row r="629" ht="15.75" customHeight="1">
      <c r="C629" s="13"/>
      <c r="D629" s="13"/>
    </row>
    <row r="630" ht="15.75" customHeight="1">
      <c r="C630" s="13"/>
      <c r="D630" s="13"/>
    </row>
    <row r="631" ht="15.75" customHeight="1">
      <c r="C631" s="13"/>
      <c r="D631" s="13"/>
    </row>
    <row r="632" ht="15.75" customHeight="1">
      <c r="C632" s="13"/>
      <c r="D632" s="13"/>
    </row>
    <row r="633" ht="15.75" customHeight="1">
      <c r="C633" s="13"/>
      <c r="D633" s="13"/>
    </row>
    <row r="634" ht="15.75" customHeight="1">
      <c r="C634" s="13"/>
      <c r="D634" s="13"/>
    </row>
    <row r="635" ht="15.75" customHeight="1">
      <c r="C635" s="13"/>
      <c r="D635" s="13"/>
    </row>
    <row r="636" ht="15.75" customHeight="1">
      <c r="C636" s="13"/>
      <c r="D636" s="13"/>
    </row>
    <row r="637" ht="15.75" customHeight="1">
      <c r="C637" s="13"/>
      <c r="D637" s="13"/>
    </row>
    <row r="638" ht="15.75" customHeight="1">
      <c r="C638" s="13"/>
      <c r="D638" s="13"/>
    </row>
    <row r="639" ht="15.75" customHeight="1">
      <c r="C639" s="13"/>
      <c r="D639" s="13"/>
    </row>
    <row r="640" ht="15.75" customHeight="1">
      <c r="C640" s="13"/>
      <c r="D640" s="13"/>
    </row>
    <row r="641" ht="15.75" customHeight="1">
      <c r="C641" s="13"/>
      <c r="D641" s="13"/>
    </row>
    <row r="642" ht="15.75" customHeight="1">
      <c r="C642" s="13"/>
      <c r="D642" s="13"/>
    </row>
    <row r="643" ht="15.75" customHeight="1">
      <c r="C643" s="13"/>
      <c r="D643" s="13"/>
    </row>
    <row r="644" ht="15.75" customHeight="1">
      <c r="C644" s="13"/>
      <c r="D644" s="13"/>
    </row>
    <row r="645" ht="15.75" customHeight="1">
      <c r="C645" s="13"/>
      <c r="D645" s="13"/>
    </row>
    <row r="646" ht="15.75" customHeight="1">
      <c r="C646" s="13"/>
      <c r="D646" s="13"/>
    </row>
    <row r="647" ht="15.75" customHeight="1">
      <c r="C647" s="13"/>
      <c r="D647" s="13"/>
    </row>
    <row r="648" ht="15.75" customHeight="1">
      <c r="C648" s="13"/>
      <c r="D648" s="13"/>
    </row>
    <row r="649" ht="15.75" customHeight="1">
      <c r="C649" s="13"/>
      <c r="D649" s="13"/>
    </row>
    <row r="650" ht="15.75" customHeight="1">
      <c r="C650" s="13"/>
      <c r="D650" s="13"/>
    </row>
    <row r="651" ht="15.75" customHeight="1">
      <c r="C651" s="13"/>
      <c r="D651" s="13"/>
    </row>
    <row r="652" ht="15.75" customHeight="1">
      <c r="C652" s="13"/>
      <c r="D652" s="13"/>
    </row>
    <row r="653" ht="15.75" customHeight="1">
      <c r="C653" s="13"/>
      <c r="D653" s="13"/>
    </row>
    <row r="654" ht="15.75" customHeight="1">
      <c r="C654" s="13"/>
      <c r="D654" s="13"/>
    </row>
    <row r="655" ht="15.75" customHeight="1">
      <c r="C655" s="13"/>
      <c r="D655" s="13"/>
    </row>
    <row r="656" ht="15.75" customHeight="1">
      <c r="C656" s="13"/>
      <c r="D656" s="13"/>
    </row>
    <row r="657" ht="15.75" customHeight="1">
      <c r="C657" s="13"/>
      <c r="D657" s="13"/>
    </row>
    <row r="658" ht="15.75" customHeight="1">
      <c r="C658" s="13"/>
      <c r="D658" s="13"/>
    </row>
    <row r="659" ht="15.75" customHeight="1">
      <c r="C659" s="13"/>
      <c r="D659" s="13"/>
    </row>
    <row r="660" ht="15.75" customHeight="1">
      <c r="C660" s="13"/>
      <c r="D660" s="13"/>
    </row>
    <row r="661" ht="15.75" customHeight="1">
      <c r="C661" s="13"/>
      <c r="D661" s="13"/>
    </row>
    <row r="662" ht="15.75" customHeight="1">
      <c r="C662" s="13"/>
      <c r="D662" s="13"/>
    </row>
    <row r="663" ht="15.75" customHeight="1">
      <c r="C663" s="13"/>
      <c r="D663" s="13"/>
    </row>
    <row r="664" ht="15.75" customHeight="1">
      <c r="C664" s="13"/>
      <c r="D664" s="13"/>
    </row>
    <row r="665" ht="15.75" customHeight="1">
      <c r="C665" s="13"/>
      <c r="D665" s="13"/>
    </row>
    <row r="666" ht="15.75" customHeight="1">
      <c r="C666" s="13"/>
      <c r="D666" s="13"/>
    </row>
    <row r="667" ht="15.75" customHeight="1">
      <c r="C667" s="13"/>
      <c r="D667" s="13"/>
    </row>
    <row r="668" ht="15.75" customHeight="1">
      <c r="C668" s="13"/>
      <c r="D668" s="13"/>
    </row>
    <row r="669" ht="15.75" customHeight="1">
      <c r="C669" s="13"/>
      <c r="D669" s="13"/>
    </row>
    <row r="670" ht="15.75" customHeight="1">
      <c r="C670" s="13"/>
      <c r="D670" s="13"/>
    </row>
    <row r="671" ht="15.75" customHeight="1">
      <c r="C671" s="13"/>
      <c r="D671" s="13"/>
    </row>
    <row r="672" ht="15.75" customHeight="1">
      <c r="C672" s="13"/>
      <c r="D672" s="13"/>
    </row>
    <row r="673" ht="15.75" customHeight="1">
      <c r="C673" s="13"/>
      <c r="D673" s="13"/>
    </row>
    <row r="674" ht="15.75" customHeight="1">
      <c r="C674" s="13"/>
      <c r="D674" s="13"/>
    </row>
    <row r="675" ht="15.75" customHeight="1">
      <c r="C675" s="13"/>
      <c r="D675" s="13"/>
    </row>
    <row r="676" ht="15.75" customHeight="1">
      <c r="C676" s="13"/>
      <c r="D676" s="13"/>
    </row>
    <row r="677" ht="15.75" customHeight="1">
      <c r="C677" s="13"/>
      <c r="D677" s="13"/>
    </row>
    <row r="678" ht="15.75" customHeight="1">
      <c r="C678" s="13"/>
      <c r="D678" s="13"/>
    </row>
    <row r="679" ht="15.75" customHeight="1">
      <c r="C679" s="13"/>
      <c r="D679" s="13"/>
    </row>
    <row r="680" ht="15.75" customHeight="1">
      <c r="C680" s="13"/>
      <c r="D680" s="13"/>
    </row>
    <row r="681" ht="15.75" customHeight="1">
      <c r="C681" s="13"/>
      <c r="D681" s="13"/>
    </row>
    <row r="682" ht="15.75" customHeight="1">
      <c r="C682" s="13"/>
      <c r="D682" s="13"/>
    </row>
    <row r="683" ht="15.75" customHeight="1">
      <c r="C683" s="13"/>
      <c r="D683" s="13"/>
    </row>
    <row r="684" ht="15.75" customHeight="1">
      <c r="C684" s="13"/>
      <c r="D684" s="13"/>
    </row>
    <row r="685" ht="15.75" customHeight="1">
      <c r="C685" s="13"/>
      <c r="D685" s="13"/>
    </row>
    <row r="686" ht="15.75" customHeight="1">
      <c r="C686" s="13"/>
      <c r="D686" s="13"/>
    </row>
    <row r="687" ht="15.75" customHeight="1">
      <c r="C687" s="13"/>
      <c r="D687" s="13"/>
    </row>
    <row r="688" ht="15.75" customHeight="1">
      <c r="C688" s="13"/>
      <c r="D688" s="13"/>
    </row>
    <row r="689" ht="15.75" customHeight="1">
      <c r="C689" s="13"/>
      <c r="D689" s="13"/>
    </row>
    <row r="690" ht="15.75" customHeight="1">
      <c r="C690" s="13"/>
      <c r="D690" s="13"/>
    </row>
    <row r="691" ht="15.75" customHeight="1">
      <c r="C691" s="13"/>
      <c r="D691" s="13"/>
    </row>
    <row r="692" ht="15.75" customHeight="1">
      <c r="C692" s="13"/>
      <c r="D692" s="13"/>
    </row>
    <row r="693" ht="15.75" customHeight="1">
      <c r="C693" s="13"/>
      <c r="D693" s="13"/>
    </row>
    <row r="694" ht="15.75" customHeight="1">
      <c r="C694" s="13"/>
      <c r="D694" s="13"/>
    </row>
    <row r="695" ht="15.75" customHeight="1">
      <c r="C695" s="13"/>
      <c r="D695" s="13"/>
    </row>
    <row r="696" ht="15.75" customHeight="1">
      <c r="C696" s="13"/>
      <c r="D696" s="13"/>
    </row>
    <row r="697" ht="15.75" customHeight="1">
      <c r="C697" s="13"/>
      <c r="D697" s="13"/>
    </row>
    <row r="698" ht="15.75" customHeight="1">
      <c r="C698" s="13"/>
      <c r="D698" s="13"/>
    </row>
    <row r="699" ht="15.75" customHeight="1">
      <c r="C699" s="13"/>
      <c r="D699" s="13"/>
    </row>
    <row r="700" ht="15.75" customHeight="1">
      <c r="C700" s="13"/>
      <c r="D700" s="13"/>
    </row>
    <row r="701" ht="15.75" customHeight="1">
      <c r="C701" s="13"/>
      <c r="D701" s="13"/>
    </row>
    <row r="702" ht="15.75" customHeight="1">
      <c r="C702" s="13"/>
      <c r="D702" s="13"/>
    </row>
    <row r="703" ht="15.75" customHeight="1">
      <c r="C703" s="13"/>
      <c r="D703" s="13"/>
    </row>
    <row r="704" ht="15.75" customHeight="1">
      <c r="C704" s="13"/>
      <c r="D704" s="13"/>
    </row>
    <row r="705" ht="15.75" customHeight="1">
      <c r="C705" s="13"/>
      <c r="D705" s="13"/>
    </row>
    <row r="706" ht="15.75" customHeight="1">
      <c r="C706" s="13"/>
      <c r="D706" s="13"/>
    </row>
    <row r="707" ht="15.75" customHeight="1">
      <c r="C707" s="13"/>
      <c r="D707" s="13"/>
    </row>
    <row r="708" ht="15.75" customHeight="1">
      <c r="C708" s="13"/>
      <c r="D708" s="13"/>
    </row>
    <row r="709" ht="15.75" customHeight="1">
      <c r="C709" s="13"/>
      <c r="D709" s="13"/>
    </row>
    <row r="710" ht="15.75" customHeight="1">
      <c r="C710" s="13"/>
      <c r="D710" s="13"/>
    </row>
    <row r="711" ht="15.75" customHeight="1">
      <c r="C711" s="13"/>
      <c r="D711" s="13"/>
    </row>
    <row r="712" ht="15.75" customHeight="1">
      <c r="C712" s="13"/>
      <c r="D712" s="13"/>
    </row>
    <row r="713" ht="15.75" customHeight="1">
      <c r="C713" s="13"/>
      <c r="D713" s="13"/>
    </row>
    <row r="714" ht="15.75" customHeight="1">
      <c r="C714" s="13"/>
      <c r="D714" s="13"/>
    </row>
    <row r="715" ht="15.75" customHeight="1">
      <c r="C715" s="13"/>
      <c r="D715" s="13"/>
    </row>
    <row r="716" ht="15.75" customHeight="1">
      <c r="C716" s="13"/>
      <c r="D716" s="13"/>
    </row>
    <row r="717" ht="15.75" customHeight="1">
      <c r="C717" s="13"/>
      <c r="D717" s="13"/>
    </row>
    <row r="718" ht="15.75" customHeight="1">
      <c r="C718" s="13"/>
      <c r="D718" s="13"/>
    </row>
    <row r="719" ht="15.75" customHeight="1">
      <c r="C719" s="13"/>
      <c r="D719" s="13"/>
    </row>
    <row r="720" ht="15.75" customHeight="1">
      <c r="C720" s="13"/>
      <c r="D720" s="13"/>
    </row>
    <row r="721" ht="15.75" customHeight="1">
      <c r="C721" s="13"/>
      <c r="D721" s="13"/>
    </row>
    <row r="722" ht="15.75" customHeight="1">
      <c r="C722" s="13"/>
      <c r="D722" s="13"/>
    </row>
    <row r="723" ht="15.75" customHeight="1">
      <c r="C723" s="13"/>
      <c r="D723" s="13"/>
    </row>
    <row r="724" ht="15.75" customHeight="1">
      <c r="C724" s="13"/>
      <c r="D724" s="13"/>
    </row>
    <row r="725" ht="15.75" customHeight="1">
      <c r="C725" s="13"/>
      <c r="D725" s="13"/>
    </row>
    <row r="726" ht="15.75" customHeight="1">
      <c r="C726" s="13"/>
      <c r="D726" s="13"/>
    </row>
    <row r="727" ht="15.75" customHeight="1">
      <c r="C727" s="13"/>
      <c r="D727" s="13"/>
    </row>
    <row r="728" ht="15.75" customHeight="1">
      <c r="C728" s="13"/>
      <c r="D728" s="13"/>
    </row>
    <row r="729" ht="15.75" customHeight="1">
      <c r="C729" s="13"/>
      <c r="D729" s="13"/>
    </row>
    <row r="730" ht="15.75" customHeight="1">
      <c r="C730" s="13"/>
      <c r="D730" s="13"/>
    </row>
    <row r="731" ht="15.75" customHeight="1">
      <c r="C731" s="13"/>
      <c r="D731" s="13"/>
    </row>
    <row r="732" ht="15.75" customHeight="1">
      <c r="C732" s="13"/>
      <c r="D732" s="13"/>
    </row>
    <row r="733" ht="15.75" customHeight="1">
      <c r="C733" s="13"/>
      <c r="D733" s="13"/>
    </row>
    <row r="734" ht="15.75" customHeight="1">
      <c r="C734" s="13"/>
      <c r="D734" s="13"/>
    </row>
    <row r="735" ht="15.75" customHeight="1">
      <c r="C735" s="13"/>
      <c r="D735" s="13"/>
    </row>
    <row r="736" ht="15.75" customHeight="1">
      <c r="C736" s="13"/>
      <c r="D736" s="13"/>
    </row>
    <row r="737" ht="15.75" customHeight="1">
      <c r="C737" s="13"/>
      <c r="D737" s="13"/>
    </row>
    <row r="738" ht="15.75" customHeight="1">
      <c r="C738" s="13"/>
      <c r="D738" s="13"/>
    </row>
    <row r="739" ht="15.75" customHeight="1">
      <c r="C739" s="13"/>
      <c r="D739" s="13"/>
    </row>
    <row r="740" ht="15.75" customHeight="1">
      <c r="C740" s="13"/>
      <c r="D740" s="13"/>
    </row>
    <row r="741" ht="15.75" customHeight="1">
      <c r="C741" s="13"/>
      <c r="D741" s="13"/>
    </row>
    <row r="742" ht="15.75" customHeight="1">
      <c r="C742" s="13"/>
      <c r="D742" s="13"/>
    </row>
    <row r="743" ht="15.75" customHeight="1">
      <c r="C743" s="13"/>
      <c r="D743" s="13"/>
    </row>
    <row r="744" ht="15.75" customHeight="1">
      <c r="C744" s="13"/>
      <c r="D744" s="13"/>
    </row>
    <row r="745" ht="15.75" customHeight="1">
      <c r="C745" s="13"/>
      <c r="D745" s="13"/>
    </row>
    <row r="746" ht="15.75" customHeight="1">
      <c r="C746" s="13"/>
      <c r="D746" s="13"/>
    </row>
    <row r="747" ht="15.75" customHeight="1">
      <c r="C747" s="13"/>
      <c r="D747" s="13"/>
    </row>
    <row r="748" ht="15.75" customHeight="1">
      <c r="C748" s="13"/>
      <c r="D748" s="13"/>
    </row>
    <row r="749" ht="15.75" customHeight="1">
      <c r="C749" s="13"/>
      <c r="D749" s="13"/>
    </row>
    <row r="750" ht="15.75" customHeight="1">
      <c r="C750" s="13"/>
      <c r="D750" s="13"/>
    </row>
    <row r="751" ht="15.75" customHeight="1">
      <c r="C751" s="13"/>
      <c r="D751" s="13"/>
    </row>
    <row r="752" ht="15.75" customHeight="1">
      <c r="C752" s="13"/>
      <c r="D752" s="13"/>
    </row>
    <row r="753" ht="15.75" customHeight="1">
      <c r="C753" s="13"/>
      <c r="D753" s="13"/>
    </row>
    <row r="754" ht="15.75" customHeight="1">
      <c r="C754" s="13"/>
      <c r="D754" s="13"/>
    </row>
    <row r="755" ht="15.75" customHeight="1">
      <c r="C755" s="13"/>
      <c r="D755" s="13"/>
    </row>
    <row r="756" ht="15.75" customHeight="1">
      <c r="C756" s="13"/>
      <c r="D756" s="13"/>
    </row>
    <row r="757" ht="15.75" customHeight="1">
      <c r="C757" s="13"/>
      <c r="D757" s="13"/>
    </row>
    <row r="758" ht="15.75" customHeight="1">
      <c r="C758" s="13"/>
      <c r="D758" s="13"/>
    </row>
    <row r="759" ht="15.75" customHeight="1">
      <c r="C759" s="13"/>
      <c r="D759" s="13"/>
    </row>
    <row r="760" ht="15.75" customHeight="1">
      <c r="C760" s="13"/>
      <c r="D760" s="13"/>
    </row>
    <row r="761" ht="15.75" customHeight="1">
      <c r="C761" s="13"/>
      <c r="D761" s="13"/>
    </row>
    <row r="762" ht="15.75" customHeight="1">
      <c r="C762" s="13"/>
      <c r="D762" s="13"/>
    </row>
    <row r="763" ht="15.75" customHeight="1">
      <c r="C763" s="13"/>
      <c r="D763" s="13"/>
    </row>
    <row r="764" ht="15.75" customHeight="1">
      <c r="C764" s="13"/>
      <c r="D764" s="13"/>
    </row>
    <row r="765" ht="15.75" customHeight="1">
      <c r="C765" s="13"/>
      <c r="D765" s="13"/>
    </row>
    <row r="766" ht="15.75" customHeight="1">
      <c r="C766" s="13"/>
      <c r="D766" s="13"/>
    </row>
    <row r="767" ht="15.75" customHeight="1">
      <c r="C767" s="13"/>
      <c r="D767" s="13"/>
    </row>
    <row r="768" ht="15.75" customHeight="1">
      <c r="C768" s="13"/>
      <c r="D768" s="13"/>
    </row>
    <row r="769" ht="15.75" customHeight="1">
      <c r="C769" s="13"/>
      <c r="D769" s="13"/>
    </row>
    <row r="770" ht="15.75" customHeight="1">
      <c r="C770" s="13"/>
      <c r="D770" s="13"/>
    </row>
    <row r="771" ht="15.75" customHeight="1">
      <c r="C771" s="13"/>
      <c r="D771" s="13"/>
    </row>
    <row r="772" ht="15.75" customHeight="1">
      <c r="C772" s="13"/>
      <c r="D772" s="13"/>
    </row>
    <row r="773" ht="15.75" customHeight="1">
      <c r="C773" s="13"/>
      <c r="D773" s="13"/>
    </row>
    <row r="774" ht="15.75" customHeight="1">
      <c r="C774" s="13"/>
      <c r="D774" s="13"/>
    </row>
    <row r="775" ht="15.75" customHeight="1">
      <c r="C775" s="13"/>
      <c r="D775" s="13"/>
    </row>
    <row r="776" ht="15.75" customHeight="1">
      <c r="C776" s="13"/>
      <c r="D776" s="13"/>
    </row>
    <row r="777" ht="15.75" customHeight="1">
      <c r="C777" s="13"/>
      <c r="D777" s="13"/>
    </row>
    <row r="778" ht="15.75" customHeight="1">
      <c r="C778" s="13"/>
      <c r="D778" s="13"/>
    </row>
    <row r="779" ht="15.75" customHeight="1">
      <c r="C779" s="13"/>
      <c r="D779" s="13"/>
    </row>
    <row r="780" ht="15.75" customHeight="1">
      <c r="C780" s="13"/>
      <c r="D780" s="13"/>
    </row>
    <row r="781" ht="15.75" customHeight="1">
      <c r="C781" s="13"/>
      <c r="D781" s="13"/>
    </row>
    <row r="782" ht="15.75" customHeight="1">
      <c r="C782" s="13"/>
      <c r="D782" s="13"/>
    </row>
    <row r="783" ht="15.75" customHeight="1">
      <c r="C783" s="13"/>
      <c r="D783" s="13"/>
    </row>
    <row r="784" ht="15.75" customHeight="1">
      <c r="C784" s="13"/>
      <c r="D784" s="13"/>
    </row>
    <row r="785" ht="15.75" customHeight="1">
      <c r="C785" s="13"/>
      <c r="D785" s="13"/>
    </row>
    <row r="786" ht="15.75" customHeight="1">
      <c r="C786" s="13"/>
      <c r="D786" s="13"/>
    </row>
    <row r="787" ht="15.75" customHeight="1">
      <c r="C787" s="13"/>
      <c r="D787" s="13"/>
    </row>
    <row r="788" ht="15.75" customHeight="1">
      <c r="C788" s="13"/>
      <c r="D788" s="13"/>
    </row>
    <row r="789" ht="15.75" customHeight="1">
      <c r="C789" s="13"/>
      <c r="D789" s="13"/>
    </row>
    <row r="790" ht="15.75" customHeight="1">
      <c r="C790" s="13"/>
      <c r="D790" s="13"/>
    </row>
    <row r="791" ht="15.75" customHeight="1">
      <c r="C791" s="13"/>
      <c r="D791" s="13"/>
    </row>
    <row r="792" ht="15.75" customHeight="1">
      <c r="C792" s="13"/>
      <c r="D792" s="13"/>
    </row>
    <row r="793" ht="15.75" customHeight="1">
      <c r="C793" s="13"/>
      <c r="D793" s="13"/>
    </row>
    <row r="794" ht="15.75" customHeight="1">
      <c r="C794" s="13"/>
      <c r="D794" s="13"/>
    </row>
    <row r="795" ht="15.75" customHeight="1">
      <c r="C795" s="13"/>
      <c r="D795" s="13"/>
    </row>
    <row r="796" ht="15.75" customHeight="1">
      <c r="C796" s="13"/>
      <c r="D796" s="13"/>
    </row>
    <row r="797" ht="15.75" customHeight="1">
      <c r="C797" s="13"/>
      <c r="D797" s="13"/>
    </row>
    <row r="798" ht="15.75" customHeight="1">
      <c r="C798" s="13"/>
      <c r="D798" s="13"/>
    </row>
    <row r="799" ht="15.75" customHeight="1">
      <c r="C799" s="13"/>
      <c r="D799" s="13"/>
    </row>
    <row r="800" ht="15.75" customHeight="1">
      <c r="C800" s="13"/>
      <c r="D800" s="13"/>
    </row>
    <row r="801" ht="15.75" customHeight="1">
      <c r="C801" s="13"/>
      <c r="D801" s="13"/>
    </row>
    <row r="802" ht="15.75" customHeight="1">
      <c r="C802" s="13"/>
      <c r="D802" s="13"/>
    </row>
    <row r="803" ht="15.75" customHeight="1">
      <c r="C803" s="13"/>
      <c r="D803" s="13"/>
    </row>
    <row r="804" ht="15.75" customHeight="1">
      <c r="C804" s="13"/>
      <c r="D804" s="13"/>
    </row>
    <row r="805" ht="15.75" customHeight="1">
      <c r="C805" s="13"/>
      <c r="D805" s="13"/>
    </row>
    <row r="806" ht="15.75" customHeight="1">
      <c r="C806" s="13"/>
      <c r="D806" s="13"/>
    </row>
    <row r="807" ht="15.75" customHeight="1">
      <c r="C807" s="13"/>
      <c r="D807" s="13"/>
    </row>
    <row r="808" ht="15.75" customHeight="1">
      <c r="C808" s="13"/>
      <c r="D808" s="13"/>
    </row>
    <row r="809" ht="15.75" customHeight="1">
      <c r="C809" s="13"/>
      <c r="D809" s="13"/>
    </row>
    <row r="810" ht="15.75" customHeight="1">
      <c r="C810" s="13"/>
      <c r="D810" s="13"/>
    </row>
    <row r="811" ht="15.75" customHeight="1">
      <c r="C811" s="13"/>
      <c r="D811" s="13"/>
    </row>
    <row r="812" ht="15.75" customHeight="1">
      <c r="C812" s="13"/>
      <c r="D812" s="13"/>
    </row>
    <row r="813" ht="15.75" customHeight="1">
      <c r="C813" s="13"/>
      <c r="D813" s="13"/>
    </row>
    <row r="814" ht="15.75" customHeight="1">
      <c r="C814" s="13"/>
      <c r="D814" s="13"/>
    </row>
    <row r="815" ht="15.75" customHeight="1">
      <c r="C815" s="13"/>
      <c r="D815" s="13"/>
    </row>
    <row r="816" ht="15.75" customHeight="1">
      <c r="C816" s="13"/>
      <c r="D816" s="13"/>
    </row>
    <row r="817" ht="15.75" customHeight="1">
      <c r="C817" s="13"/>
      <c r="D817" s="13"/>
    </row>
    <row r="818" ht="15.75" customHeight="1">
      <c r="C818" s="13"/>
      <c r="D818" s="13"/>
    </row>
    <row r="819" ht="15.75" customHeight="1">
      <c r="C819" s="13"/>
      <c r="D819" s="13"/>
    </row>
    <row r="820" ht="15.75" customHeight="1">
      <c r="C820" s="13"/>
      <c r="D820" s="13"/>
    </row>
    <row r="821" ht="15.75" customHeight="1">
      <c r="C821" s="13"/>
      <c r="D821" s="13"/>
    </row>
    <row r="822" ht="15.75" customHeight="1">
      <c r="C822" s="13"/>
      <c r="D822" s="13"/>
    </row>
    <row r="823" ht="15.75" customHeight="1">
      <c r="C823" s="13"/>
      <c r="D823" s="13"/>
    </row>
    <row r="824" ht="15.75" customHeight="1">
      <c r="C824" s="13"/>
      <c r="D824" s="13"/>
    </row>
    <row r="825" ht="15.75" customHeight="1">
      <c r="C825" s="13"/>
      <c r="D825" s="13"/>
    </row>
    <row r="826" ht="15.75" customHeight="1">
      <c r="C826" s="13"/>
      <c r="D826" s="13"/>
    </row>
    <row r="827" ht="15.75" customHeight="1">
      <c r="C827" s="13"/>
      <c r="D827" s="13"/>
    </row>
    <row r="828" ht="15.75" customHeight="1">
      <c r="C828" s="13"/>
      <c r="D828" s="13"/>
    </row>
    <row r="829" ht="15.75" customHeight="1">
      <c r="C829" s="13"/>
      <c r="D829" s="13"/>
    </row>
    <row r="830" ht="15.75" customHeight="1">
      <c r="C830" s="13"/>
      <c r="D830" s="13"/>
    </row>
    <row r="831" ht="15.75" customHeight="1">
      <c r="C831" s="13"/>
      <c r="D831" s="13"/>
    </row>
    <row r="832" ht="15.75" customHeight="1">
      <c r="C832" s="13"/>
      <c r="D832" s="13"/>
    </row>
    <row r="833" ht="15.75" customHeight="1">
      <c r="C833" s="13"/>
      <c r="D833" s="13"/>
    </row>
    <row r="834" ht="15.75" customHeight="1">
      <c r="C834" s="13"/>
      <c r="D834" s="13"/>
    </row>
    <row r="835" ht="15.75" customHeight="1">
      <c r="C835" s="13"/>
      <c r="D835" s="13"/>
    </row>
    <row r="836" ht="15.75" customHeight="1">
      <c r="C836" s="13"/>
      <c r="D836" s="13"/>
    </row>
    <row r="837" ht="15.75" customHeight="1">
      <c r="C837" s="13"/>
      <c r="D837" s="13"/>
    </row>
    <row r="838" ht="15.75" customHeight="1">
      <c r="C838" s="13"/>
      <c r="D838" s="13"/>
    </row>
    <row r="839" ht="15.75" customHeight="1">
      <c r="C839" s="13"/>
      <c r="D839" s="13"/>
    </row>
    <row r="840" ht="15.75" customHeight="1">
      <c r="C840" s="13"/>
      <c r="D840" s="13"/>
    </row>
    <row r="841" ht="15.75" customHeight="1">
      <c r="C841" s="13"/>
      <c r="D841" s="13"/>
    </row>
    <row r="842" ht="15.75" customHeight="1">
      <c r="C842" s="13"/>
      <c r="D842" s="13"/>
    </row>
    <row r="843" ht="15.75" customHeight="1">
      <c r="C843" s="13"/>
      <c r="D843" s="13"/>
    </row>
    <row r="844" ht="15.75" customHeight="1">
      <c r="C844" s="13"/>
      <c r="D844" s="13"/>
    </row>
    <row r="845" ht="15.75" customHeight="1">
      <c r="C845" s="13"/>
      <c r="D845" s="13"/>
    </row>
    <row r="846" ht="15.75" customHeight="1">
      <c r="C846" s="13"/>
      <c r="D846" s="13"/>
    </row>
    <row r="847" ht="15.75" customHeight="1">
      <c r="C847" s="13"/>
      <c r="D847" s="13"/>
    </row>
    <row r="848" ht="15.75" customHeight="1">
      <c r="C848" s="13"/>
      <c r="D848" s="13"/>
    </row>
    <row r="849" ht="15.75" customHeight="1">
      <c r="C849" s="13"/>
      <c r="D849" s="13"/>
    </row>
    <row r="850" ht="15.75" customHeight="1">
      <c r="C850" s="13"/>
      <c r="D850" s="13"/>
    </row>
    <row r="851" ht="15.75" customHeight="1">
      <c r="C851" s="13"/>
      <c r="D851" s="13"/>
    </row>
    <row r="852" ht="15.75" customHeight="1">
      <c r="C852" s="13"/>
      <c r="D852" s="13"/>
    </row>
    <row r="853" ht="15.75" customHeight="1">
      <c r="C853" s="13"/>
      <c r="D853" s="13"/>
    </row>
    <row r="854" ht="15.75" customHeight="1">
      <c r="C854" s="13"/>
      <c r="D854" s="13"/>
    </row>
    <row r="855" ht="15.75" customHeight="1">
      <c r="C855" s="13"/>
      <c r="D855" s="13"/>
    </row>
    <row r="856" ht="15.75" customHeight="1">
      <c r="C856" s="13"/>
      <c r="D856" s="13"/>
    </row>
    <row r="857" ht="15.75" customHeight="1">
      <c r="C857" s="13"/>
      <c r="D857" s="13"/>
    </row>
    <row r="858" ht="15.75" customHeight="1">
      <c r="C858" s="13"/>
      <c r="D858" s="13"/>
    </row>
    <row r="859" ht="15.75" customHeight="1">
      <c r="C859" s="13"/>
      <c r="D859" s="13"/>
    </row>
    <row r="860" ht="15.75" customHeight="1">
      <c r="C860" s="13"/>
      <c r="D860" s="13"/>
    </row>
    <row r="861" ht="15.75" customHeight="1">
      <c r="C861" s="13"/>
      <c r="D861" s="13"/>
    </row>
    <row r="862" ht="15.75" customHeight="1">
      <c r="C862" s="13"/>
      <c r="D862" s="13"/>
    </row>
    <row r="863" ht="15.75" customHeight="1">
      <c r="C863" s="13"/>
      <c r="D863" s="13"/>
    </row>
    <row r="864" ht="15.75" customHeight="1">
      <c r="C864" s="13"/>
      <c r="D864" s="13"/>
    </row>
    <row r="865" ht="15.75" customHeight="1">
      <c r="C865" s="13"/>
      <c r="D865" s="13"/>
    </row>
    <row r="866" ht="15.75" customHeight="1">
      <c r="C866" s="13"/>
      <c r="D866" s="13"/>
    </row>
    <row r="867" ht="15.75" customHeight="1">
      <c r="C867" s="13"/>
      <c r="D867" s="13"/>
    </row>
    <row r="868" ht="15.75" customHeight="1">
      <c r="C868" s="13"/>
      <c r="D868" s="13"/>
    </row>
    <row r="869" ht="15.75" customHeight="1">
      <c r="C869" s="13"/>
      <c r="D869" s="13"/>
    </row>
    <row r="870" ht="15.75" customHeight="1">
      <c r="C870" s="13"/>
      <c r="D870" s="13"/>
    </row>
    <row r="871" ht="15.75" customHeight="1">
      <c r="C871" s="13"/>
      <c r="D871" s="13"/>
    </row>
    <row r="872" ht="15.75" customHeight="1">
      <c r="C872" s="13"/>
      <c r="D872" s="13"/>
    </row>
    <row r="873" ht="15.75" customHeight="1">
      <c r="C873" s="13"/>
      <c r="D873" s="13"/>
    </row>
    <row r="874" ht="15.75" customHeight="1">
      <c r="C874" s="13"/>
      <c r="D874" s="13"/>
    </row>
    <row r="875" ht="15.75" customHeight="1">
      <c r="C875" s="13"/>
      <c r="D875" s="13"/>
    </row>
    <row r="876" ht="15.75" customHeight="1">
      <c r="C876" s="13"/>
      <c r="D876" s="13"/>
    </row>
    <row r="877" ht="15.75" customHeight="1">
      <c r="C877" s="13"/>
      <c r="D877" s="13"/>
    </row>
    <row r="878" ht="15.75" customHeight="1">
      <c r="C878" s="13"/>
      <c r="D878" s="13"/>
    </row>
    <row r="879" ht="15.75" customHeight="1">
      <c r="C879" s="13"/>
      <c r="D879" s="13"/>
    </row>
    <row r="880" ht="15.75" customHeight="1">
      <c r="C880" s="13"/>
      <c r="D880" s="13"/>
    </row>
    <row r="881" ht="15.75" customHeight="1">
      <c r="C881" s="13"/>
      <c r="D881" s="13"/>
    </row>
    <row r="882" ht="15.75" customHeight="1">
      <c r="C882" s="13"/>
      <c r="D882" s="13"/>
    </row>
    <row r="883" ht="15.75" customHeight="1">
      <c r="C883" s="13"/>
      <c r="D883" s="13"/>
    </row>
    <row r="884" ht="15.75" customHeight="1">
      <c r="C884" s="13"/>
      <c r="D884" s="13"/>
    </row>
    <row r="885" ht="15.75" customHeight="1">
      <c r="C885" s="13"/>
      <c r="D885" s="13"/>
    </row>
    <row r="886" ht="15.75" customHeight="1">
      <c r="C886" s="13"/>
      <c r="D886" s="13"/>
    </row>
    <row r="887" ht="15.75" customHeight="1">
      <c r="C887" s="13"/>
      <c r="D887" s="13"/>
    </row>
    <row r="888" ht="15.75" customHeight="1">
      <c r="C888" s="13"/>
      <c r="D888" s="13"/>
    </row>
    <row r="889" ht="15.75" customHeight="1">
      <c r="C889" s="13"/>
      <c r="D889" s="13"/>
    </row>
    <row r="890" ht="15.75" customHeight="1">
      <c r="C890" s="13"/>
      <c r="D890" s="13"/>
    </row>
    <row r="891" ht="15.75" customHeight="1">
      <c r="C891" s="13"/>
      <c r="D891" s="13"/>
    </row>
    <row r="892" ht="15.75" customHeight="1">
      <c r="C892" s="13"/>
      <c r="D892" s="13"/>
    </row>
    <row r="893" ht="15.75" customHeight="1">
      <c r="C893" s="13"/>
      <c r="D893" s="13"/>
    </row>
    <row r="894" ht="15.75" customHeight="1">
      <c r="C894" s="13"/>
      <c r="D894" s="13"/>
    </row>
    <row r="895" ht="15.75" customHeight="1">
      <c r="C895" s="13"/>
      <c r="D895" s="13"/>
    </row>
    <row r="896" ht="15.75" customHeight="1">
      <c r="C896" s="13"/>
      <c r="D896" s="13"/>
    </row>
    <row r="897" ht="15.75" customHeight="1">
      <c r="C897" s="13"/>
      <c r="D897" s="13"/>
    </row>
    <row r="898" ht="15.75" customHeight="1">
      <c r="C898" s="13"/>
      <c r="D898" s="13"/>
    </row>
    <row r="899" ht="15.75" customHeight="1">
      <c r="C899" s="13"/>
      <c r="D899" s="13"/>
    </row>
    <row r="900" ht="15.75" customHeight="1">
      <c r="C900" s="13"/>
      <c r="D900" s="13"/>
    </row>
    <row r="901" ht="15.75" customHeight="1">
      <c r="C901" s="13"/>
      <c r="D901" s="13"/>
    </row>
    <row r="902" ht="15.75" customHeight="1">
      <c r="C902" s="13"/>
      <c r="D902" s="13"/>
    </row>
    <row r="903" ht="15.75" customHeight="1">
      <c r="C903" s="13"/>
      <c r="D903" s="13"/>
    </row>
    <row r="904" ht="15.75" customHeight="1">
      <c r="C904" s="13"/>
      <c r="D904" s="13"/>
    </row>
    <row r="905" ht="15.75" customHeight="1">
      <c r="C905" s="13"/>
      <c r="D905" s="13"/>
    </row>
    <row r="906" ht="15.75" customHeight="1">
      <c r="C906" s="13"/>
      <c r="D906" s="13"/>
    </row>
    <row r="907" ht="15.75" customHeight="1">
      <c r="C907" s="13"/>
      <c r="D907" s="13"/>
    </row>
    <row r="908" ht="15.75" customHeight="1">
      <c r="C908" s="13"/>
      <c r="D908" s="13"/>
    </row>
    <row r="909" ht="15.75" customHeight="1">
      <c r="C909" s="13"/>
      <c r="D909" s="13"/>
    </row>
    <row r="910" ht="15.75" customHeight="1">
      <c r="C910" s="13"/>
      <c r="D910" s="13"/>
    </row>
    <row r="911" ht="15.75" customHeight="1">
      <c r="C911" s="13"/>
      <c r="D911" s="13"/>
    </row>
    <row r="912" ht="15.75" customHeight="1">
      <c r="C912" s="13"/>
      <c r="D912" s="13"/>
    </row>
    <row r="913" ht="15.75" customHeight="1">
      <c r="C913" s="13"/>
      <c r="D913" s="13"/>
    </row>
    <row r="914" ht="15.75" customHeight="1">
      <c r="C914" s="13"/>
      <c r="D914" s="13"/>
    </row>
    <row r="915" ht="15.75" customHeight="1">
      <c r="C915" s="13"/>
      <c r="D915" s="13"/>
    </row>
    <row r="916" ht="15.75" customHeight="1">
      <c r="C916" s="13"/>
      <c r="D916" s="13"/>
    </row>
    <row r="917" ht="15.75" customHeight="1">
      <c r="C917" s="13"/>
      <c r="D917" s="13"/>
    </row>
    <row r="918" ht="15.75" customHeight="1">
      <c r="C918" s="13"/>
      <c r="D918" s="13"/>
    </row>
    <row r="919" ht="15.75" customHeight="1">
      <c r="C919" s="13"/>
      <c r="D919" s="13"/>
    </row>
    <row r="920" ht="15.75" customHeight="1">
      <c r="C920" s="13"/>
      <c r="D920" s="13"/>
    </row>
    <row r="921" ht="15.75" customHeight="1">
      <c r="C921" s="13"/>
      <c r="D921" s="13"/>
    </row>
    <row r="922" ht="15.75" customHeight="1">
      <c r="C922" s="13"/>
      <c r="D922" s="13"/>
    </row>
    <row r="923" ht="15.75" customHeight="1">
      <c r="C923" s="13"/>
      <c r="D923" s="13"/>
    </row>
    <row r="924" ht="15.75" customHeight="1">
      <c r="C924" s="13"/>
      <c r="D924" s="13"/>
    </row>
    <row r="925" ht="15.75" customHeight="1">
      <c r="C925" s="13"/>
      <c r="D925" s="13"/>
    </row>
    <row r="926" ht="15.75" customHeight="1">
      <c r="C926" s="13"/>
      <c r="D926" s="13"/>
    </row>
    <row r="927" ht="15.75" customHeight="1">
      <c r="C927" s="13"/>
      <c r="D927" s="13"/>
    </row>
    <row r="928" ht="15.75" customHeight="1">
      <c r="C928" s="13"/>
      <c r="D928" s="13"/>
    </row>
    <row r="929" ht="15.75" customHeight="1">
      <c r="C929" s="13"/>
      <c r="D929" s="13"/>
    </row>
    <row r="930" ht="15.75" customHeight="1">
      <c r="C930" s="13"/>
      <c r="D930" s="13"/>
    </row>
    <row r="931" ht="15.75" customHeight="1">
      <c r="C931" s="13"/>
      <c r="D931" s="13"/>
    </row>
    <row r="932" ht="15.75" customHeight="1">
      <c r="C932" s="13"/>
      <c r="D932" s="13"/>
    </row>
    <row r="933" ht="15.75" customHeight="1">
      <c r="C933" s="13"/>
      <c r="D933" s="13"/>
    </row>
    <row r="934" ht="15.75" customHeight="1">
      <c r="C934" s="13"/>
      <c r="D934" s="13"/>
    </row>
    <row r="935" ht="15.75" customHeight="1">
      <c r="C935" s="13"/>
      <c r="D935" s="13"/>
    </row>
    <row r="936" ht="15.75" customHeight="1">
      <c r="C936" s="13"/>
      <c r="D936" s="13"/>
    </row>
    <row r="937" ht="15.75" customHeight="1">
      <c r="C937" s="13"/>
      <c r="D937" s="13"/>
    </row>
    <row r="938" ht="15.75" customHeight="1">
      <c r="C938" s="13"/>
      <c r="D938" s="13"/>
    </row>
    <row r="939" ht="15.75" customHeight="1">
      <c r="C939" s="13"/>
      <c r="D939" s="13"/>
    </row>
    <row r="940" ht="15.75" customHeight="1">
      <c r="C940" s="13"/>
      <c r="D940" s="13"/>
    </row>
    <row r="941" ht="15.75" customHeight="1">
      <c r="C941" s="13"/>
      <c r="D941" s="13"/>
    </row>
    <row r="942" ht="15.75" customHeight="1">
      <c r="C942" s="13"/>
      <c r="D942" s="13"/>
    </row>
    <row r="943" ht="15.75" customHeight="1">
      <c r="C943" s="13"/>
      <c r="D943" s="13"/>
    </row>
    <row r="944" ht="15.75" customHeight="1">
      <c r="C944" s="13"/>
      <c r="D944" s="13"/>
    </row>
    <row r="945" ht="15.75" customHeight="1">
      <c r="C945" s="13"/>
      <c r="D945" s="13"/>
    </row>
    <row r="946" ht="15.75" customHeight="1">
      <c r="C946" s="13"/>
      <c r="D946" s="13"/>
    </row>
    <row r="947" ht="15.75" customHeight="1">
      <c r="C947" s="13"/>
      <c r="D947" s="13"/>
    </row>
    <row r="948" ht="15.75" customHeight="1">
      <c r="C948" s="13"/>
      <c r="D948" s="13"/>
    </row>
    <row r="949" ht="15.75" customHeight="1">
      <c r="C949" s="13"/>
      <c r="D949" s="13"/>
    </row>
    <row r="950" ht="15.75" customHeight="1">
      <c r="C950" s="13"/>
      <c r="D950" s="13"/>
    </row>
    <row r="951" ht="15.75" customHeight="1">
      <c r="C951" s="13"/>
      <c r="D951" s="13"/>
    </row>
    <row r="952" ht="15.75" customHeight="1">
      <c r="C952" s="13"/>
      <c r="D952" s="13"/>
    </row>
    <row r="953" ht="15.75" customHeight="1">
      <c r="C953" s="13"/>
      <c r="D953" s="13"/>
    </row>
    <row r="954" ht="15.75" customHeight="1">
      <c r="C954" s="13"/>
      <c r="D954" s="13"/>
    </row>
    <row r="955" ht="15.75" customHeight="1">
      <c r="C955" s="13"/>
      <c r="D955" s="13"/>
    </row>
    <row r="956" ht="15.75" customHeight="1">
      <c r="C956" s="13"/>
      <c r="D956" s="13"/>
    </row>
    <row r="957" ht="15.75" customHeight="1">
      <c r="C957" s="13"/>
      <c r="D957" s="13"/>
    </row>
    <row r="958" ht="15.75" customHeight="1">
      <c r="C958" s="13"/>
      <c r="D958" s="13"/>
    </row>
    <row r="959" ht="15.75" customHeight="1">
      <c r="C959" s="13"/>
      <c r="D959" s="13"/>
    </row>
    <row r="960" ht="15.75" customHeight="1">
      <c r="C960" s="13"/>
      <c r="D960" s="13"/>
    </row>
    <row r="961" ht="15.75" customHeight="1">
      <c r="C961" s="13"/>
      <c r="D961" s="13"/>
    </row>
    <row r="962" ht="15.75" customHeight="1">
      <c r="C962" s="13"/>
      <c r="D962" s="13"/>
    </row>
    <row r="963" ht="15.75" customHeight="1">
      <c r="C963" s="13"/>
      <c r="D963" s="13"/>
    </row>
    <row r="964" ht="15.75" customHeight="1">
      <c r="C964" s="13"/>
      <c r="D964" s="13"/>
    </row>
    <row r="965" ht="15.75" customHeight="1">
      <c r="C965" s="13"/>
      <c r="D965" s="13"/>
    </row>
    <row r="966" ht="15.75" customHeight="1">
      <c r="C966" s="13"/>
      <c r="D966" s="13"/>
    </row>
    <row r="967" ht="15.75" customHeight="1">
      <c r="C967" s="13"/>
      <c r="D967" s="13"/>
    </row>
    <row r="968" ht="15.75" customHeight="1">
      <c r="C968" s="13"/>
      <c r="D968" s="13"/>
    </row>
    <row r="969" ht="15.75" customHeight="1">
      <c r="C969" s="13"/>
      <c r="D969" s="13"/>
    </row>
    <row r="970" ht="15.75" customHeight="1">
      <c r="C970" s="13"/>
      <c r="D970" s="13"/>
    </row>
    <row r="971" ht="15.75" customHeight="1">
      <c r="C971" s="13"/>
      <c r="D971" s="13"/>
    </row>
    <row r="972" ht="15.75" customHeight="1">
      <c r="C972" s="13"/>
      <c r="D972" s="13"/>
    </row>
    <row r="973" ht="15.75" customHeight="1">
      <c r="C973" s="13"/>
      <c r="D973" s="13"/>
    </row>
    <row r="974" ht="15.75" customHeight="1">
      <c r="C974" s="13"/>
      <c r="D974" s="13"/>
    </row>
    <row r="975" ht="15.75" customHeight="1">
      <c r="C975" s="13"/>
      <c r="D975" s="13"/>
    </row>
    <row r="976" ht="15.75" customHeight="1">
      <c r="C976" s="13"/>
      <c r="D976" s="13"/>
    </row>
    <row r="977" ht="15.75" customHeight="1">
      <c r="C977" s="13"/>
      <c r="D977" s="13"/>
    </row>
    <row r="978" ht="15.75" customHeight="1">
      <c r="C978" s="13"/>
      <c r="D978" s="13"/>
    </row>
    <row r="979" ht="15.75" customHeight="1">
      <c r="C979" s="13"/>
      <c r="D979" s="13"/>
    </row>
    <row r="980" ht="15.75" customHeight="1">
      <c r="C980" s="13"/>
      <c r="D980" s="13"/>
    </row>
    <row r="981" ht="15.75" customHeight="1">
      <c r="C981" s="13"/>
      <c r="D981" s="13"/>
    </row>
    <row r="982" ht="15.75" customHeight="1">
      <c r="C982" s="13"/>
      <c r="D982" s="13"/>
    </row>
    <row r="983" ht="15.75" customHeight="1">
      <c r="C983" s="13"/>
      <c r="D983" s="13"/>
    </row>
    <row r="984" ht="15.75" customHeight="1">
      <c r="C984" s="13"/>
      <c r="D984" s="13"/>
    </row>
    <row r="985" ht="15.75" customHeight="1">
      <c r="C985" s="13"/>
      <c r="D985" s="13"/>
    </row>
    <row r="986" ht="15.75" customHeight="1">
      <c r="C986" s="13"/>
      <c r="D986" s="13"/>
    </row>
    <row r="987" ht="15.75" customHeight="1">
      <c r="C987" s="13"/>
      <c r="D987" s="13"/>
    </row>
    <row r="988" ht="15.75" customHeight="1">
      <c r="C988" s="13"/>
      <c r="D988" s="13"/>
    </row>
    <row r="989" ht="15.75" customHeight="1">
      <c r="C989" s="13"/>
      <c r="D989" s="13"/>
    </row>
    <row r="990" ht="15.75" customHeight="1">
      <c r="C990" s="13"/>
      <c r="D990" s="13"/>
    </row>
    <row r="991" ht="15.75" customHeight="1">
      <c r="C991" s="13"/>
      <c r="D991" s="13"/>
    </row>
    <row r="992" ht="15.75" customHeight="1">
      <c r="C992" s="13"/>
      <c r="D992" s="13"/>
    </row>
    <row r="993" ht="15.75" customHeight="1">
      <c r="C993" s="13"/>
      <c r="D993" s="13"/>
    </row>
    <row r="994" ht="15.75" customHeight="1">
      <c r="C994" s="13"/>
      <c r="D994" s="13"/>
    </row>
    <row r="995" ht="15.75" customHeight="1">
      <c r="C995" s="13"/>
      <c r="D995" s="13"/>
    </row>
    <row r="996" ht="15.75" customHeight="1">
      <c r="C996" s="13"/>
      <c r="D996" s="13"/>
    </row>
    <row r="997" ht="15.75" customHeight="1">
      <c r="C997" s="13"/>
      <c r="D997" s="13"/>
    </row>
    <row r="998" ht="15.75" customHeight="1">
      <c r="C998" s="13"/>
      <c r="D998" s="13"/>
    </row>
    <row r="999" ht="15.75" customHeight="1">
      <c r="C999" s="13"/>
      <c r="D999" s="13"/>
    </row>
    <row r="1000" ht="15.75" customHeight="1">
      <c r="C1000" s="13"/>
      <c r="D1000" s="13"/>
    </row>
    <row r="1001" ht="15.75" customHeight="1">
      <c r="C1001" s="13"/>
      <c r="D1001" s="13"/>
    </row>
    <row r="1002" ht="15.75" customHeight="1">
      <c r="C1002" s="13"/>
      <c r="D1002" s="13"/>
    </row>
    <row r="1003" ht="15.75" customHeight="1">
      <c r="C1003" s="13"/>
      <c r="D1003" s="13"/>
    </row>
    <row r="1004" ht="15.75" customHeight="1">
      <c r="C1004" s="13"/>
      <c r="D1004" s="13"/>
    </row>
    <row r="1005" ht="15.75" customHeight="1">
      <c r="C1005" s="13"/>
      <c r="D1005" s="13"/>
    </row>
    <row r="1006" ht="15.75" customHeight="1">
      <c r="C1006" s="13"/>
      <c r="D1006" s="13"/>
    </row>
    <row r="1007" ht="15.75" customHeight="1">
      <c r="C1007" s="13"/>
      <c r="D1007" s="13"/>
    </row>
    <row r="1008" ht="15.75" customHeight="1">
      <c r="C1008" s="13"/>
      <c r="D1008" s="13"/>
    </row>
    <row r="1009" ht="15.75" customHeight="1">
      <c r="C1009" s="13"/>
      <c r="D1009" s="13"/>
    </row>
    <row r="1010" ht="15.75" customHeight="1">
      <c r="C1010" s="13"/>
      <c r="D1010" s="13"/>
    </row>
    <row r="1011" ht="15.75" customHeight="1">
      <c r="C1011" s="13"/>
      <c r="D1011" s="13"/>
    </row>
    <row r="1012" ht="15.75" customHeight="1">
      <c r="C1012" s="13"/>
      <c r="D1012" s="13"/>
    </row>
    <row r="1013" ht="15.75" customHeight="1">
      <c r="C1013" s="13"/>
      <c r="D1013" s="13"/>
    </row>
    <row r="1014" ht="15.75" customHeight="1">
      <c r="C1014" s="13"/>
      <c r="D1014" s="13"/>
    </row>
    <row r="1015" ht="15.75" customHeight="1">
      <c r="C1015" s="13"/>
      <c r="D1015" s="13"/>
    </row>
    <row r="1016" ht="15.75" customHeight="1">
      <c r="C1016" s="13"/>
      <c r="D1016" s="13"/>
    </row>
    <row r="1017" ht="15.75" customHeight="1">
      <c r="C1017" s="13"/>
      <c r="D1017" s="13"/>
    </row>
    <row r="1018" ht="15.75" customHeight="1">
      <c r="C1018" s="13"/>
      <c r="D1018" s="13"/>
    </row>
    <row r="1019" ht="15.75" customHeight="1">
      <c r="C1019" s="13"/>
      <c r="D1019" s="13"/>
    </row>
    <row r="1020" ht="15.75" customHeight="1">
      <c r="C1020" s="13"/>
      <c r="D1020" s="13"/>
    </row>
    <row r="1021" ht="15.75" customHeight="1">
      <c r="C1021" s="13"/>
      <c r="D1021" s="13"/>
    </row>
    <row r="1022" ht="15.75" customHeight="1">
      <c r="C1022" s="13"/>
      <c r="D1022" s="13"/>
    </row>
    <row r="1023" ht="15.75" customHeight="1">
      <c r="C1023" s="13"/>
      <c r="D1023" s="13"/>
    </row>
    <row r="1024" ht="15.75" customHeight="1">
      <c r="C1024" s="13"/>
      <c r="D1024" s="13"/>
    </row>
    <row r="1025" ht="15.75" customHeight="1">
      <c r="C1025" s="13"/>
      <c r="D1025" s="13"/>
    </row>
    <row r="1026" ht="15.75" customHeight="1">
      <c r="C1026" s="13"/>
      <c r="D1026" s="13"/>
    </row>
    <row r="1027" ht="15.75" customHeight="1">
      <c r="C1027" s="13"/>
      <c r="D1027" s="13"/>
    </row>
    <row r="1028" ht="15.75" customHeight="1">
      <c r="C1028" s="13"/>
      <c r="D1028" s="13"/>
    </row>
    <row r="1029" ht="15.75" customHeight="1">
      <c r="C1029" s="13"/>
      <c r="D1029" s="13"/>
    </row>
    <row r="1030" ht="15.75" customHeight="1">
      <c r="C1030" s="13"/>
      <c r="D1030" s="13"/>
    </row>
    <row r="1031" ht="15.75" customHeight="1">
      <c r="C1031" s="13"/>
      <c r="D1031" s="13"/>
    </row>
    <row r="1032" ht="15.75" customHeight="1">
      <c r="C1032" s="13"/>
      <c r="D1032" s="13"/>
    </row>
    <row r="1033" ht="15.75" customHeight="1">
      <c r="C1033" s="13"/>
      <c r="D1033" s="13"/>
    </row>
    <row r="1034" ht="15.75" customHeight="1">
      <c r="C1034" s="13"/>
      <c r="D1034" s="13"/>
    </row>
    <row r="1035" ht="15.75" customHeight="1">
      <c r="C1035" s="13"/>
      <c r="D1035" s="13"/>
    </row>
    <row r="1036" ht="15.75" customHeight="1">
      <c r="C1036" s="13"/>
      <c r="D1036" s="13"/>
    </row>
    <row r="1037" ht="15.75" customHeight="1">
      <c r="C1037" s="13"/>
      <c r="D1037" s="13"/>
    </row>
    <row r="1038" ht="15.75" customHeight="1">
      <c r="C1038" s="13"/>
      <c r="D1038" s="13"/>
    </row>
    <row r="1039" ht="15.75" customHeight="1">
      <c r="C1039" s="13"/>
      <c r="D1039" s="13"/>
    </row>
    <row r="1040" ht="15.75" customHeight="1">
      <c r="C1040" s="13"/>
      <c r="D1040" s="13"/>
    </row>
    <row r="1041" ht="15.75" customHeight="1">
      <c r="C1041" s="13"/>
      <c r="D1041" s="13"/>
    </row>
    <row r="1042" ht="15.75" customHeight="1">
      <c r="C1042" s="13"/>
      <c r="D1042" s="13"/>
    </row>
    <row r="1043" ht="15.75" customHeight="1">
      <c r="C1043" s="13"/>
      <c r="D1043" s="13"/>
    </row>
    <row r="1044" ht="15.75" customHeight="1">
      <c r="C1044" s="13"/>
      <c r="D1044" s="13"/>
    </row>
    <row r="1045" ht="15.75" customHeight="1">
      <c r="C1045" s="13"/>
      <c r="D1045" s="13"/>
    </row>
    <row r="1046" ht="15.75" customHeight="1">
      <c r="C1046" s="13"/>
      <c r="D1046" s="13"/>
    </row>
    <row r="1047" ht="15.75" customHeight="1">
      <c r="C1047" s="13"/>
      <c r="D1047" s="13"/>
    </row>
    <row r="1048" ht="15.75" customHeight="1">
      <c r="C1048" s="13"/>
      <c r="D1048" s="13"/>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14"/>
    <col customWidth="1" min="2" max="2" width="11.86"/>
  </cols>
  <sheetData>
    <row r="1">
      <c r="A1" s="1" t="s">
        <v>218</v>
      </c>
      <c r="B1" s="5" t="s">
        <v>7</v>
      </c>
      <c r="C1" s="5" t="s">
        <v>57</v>
      </c>
    </row>
    <row r="3">
      <c r="A3" s="18" t="s">
        <v>219</v>
      </c>
    </row>
    <row r="5">
      <c r="A5" s="18" t="s">
        <v>220</v>
      </c>
      <c r="B5" s="4">
        <v>40.0</v>
      </c>
    </row>
    <row r="6">
      <c r="A6" s="18" t="s">
        <v>221</v>
      </c>
      <c r="B6" s="4">
        <v>10.0</v>
      </c>
      <c r="D6" s="18" t="s">
        <v>222</v>
      </c>
      <c r="E6" s="19">
        <v>45355.0</v>
      </c>
    </row>
    <row r="7">
      <c r="A7" s="18" t="s">
        <v>223</v>
      </c>
      <c r="B7" s="4" t="s">
        <v>224</v>
      </c>
      <c r="D7" s="18" t="s">
        <v>225</v>
      </c>
      <c r="E7" s="20">
        <v>30.0</v>
      </c>
      <c r="H7" s="21"/>
    </row>
    <row r="8">
      <c r="A8" s="18" t="s">
        <v>226</v>
      </c>
      <c r="B8" s="4">
        <v>8.0</v>
      </c>
      <c r="D8" s="18" t="s">
        <v>227</v>
      </c>
      <c r="E8" s="20">
        <v>1.0</v>
      </c>
      <c r="H8" s="21"/>
    </row>
    <row r="9">
      <c r="A9" s="18" t="s">
        <v>228</v>
      </c>
      <c r="B9" s="4" t="s">
        <v>20</v>
      </c>
      <c r="D9" s="18" t="s">
        <v>229</v>
      </c>
      <c r="E9" s="20">
        <v>3.0</v>
      </c>
      <c r="H9" s="21"/>
    </row>
    <row r="10">
      <c r="A10" s="18" t="s">
        <v>230</v>
      </c>
      <c r="B10" s="22">
        <v>45325.0</v>
      </c>
      <c r="D10" s="18" t="s">
        <v>231</v>
      </c>
      <c r="E10" s="20">
        <v>0.0</v>
      </c>
      <c r="H10" s="21"/>
    </row>
    <row r="11">
      <c r="A11" s="18" t="s">
        <v>232</v>
      </c>
      <c r="B11" s="4">
        <v>2.0</v>
      </c>
      <c r="D11" s="18" t="s">
        <v>233</v>
      </c>
      <c r="E11" s="20" t="s">
        <v>20</v>
      </c>
      <c r="H11" s="21"/>
    </row>
    <row r="12">
      <c r="A12" s="18" t="s">
        <v>234</v>
      </c>
      <c r="B12" s="4">
        <v>6.0</v>
      </c>
      <c r="D12" s="18" t="s">
        <v>235</v>
      </c>
      <c r="E12" s="20">
        <v>20.0</v>
      </c>
      <c r="H12" s="21"/>
    </row>
    <row r="13">
      <c r="A13" s="18" t="s">
        <v>236</v>
      </c>
      <c r="B13" s="4">
        <v>3.0</v>
      </c>
      <c r="D13" s="18" t="s">
        <v>237</v>
      </c>
      <c r="E13" s="20">
        <v>2.0</v>
      </c>
      <c r="H13" s="21"/>
    </row>
    <row r="14">
      <c r="A14" s="18" t="s">
        <v>238</v>
      </c>
      <c r="B14" s="4" t="s">
        <v>239</v>
      </c>
      <c r="D14" s="18" t="s">
        <v>240</v>
      </c>
      <c r="E14" s="20" t="s">
        <v>20</v>
      </c>
    </row>
    <row r="15">
      <c r="A15" s="18" t="s">
        <v>241</v>
      </c>
      <c r="B15" s="4" t="s">
        <v>242</v>
      </c>
      <c r="D15" s="23"/>
      <c r="E15" s="24"/>
    </row>
    <row r="16">
      <c r="A16" s="18" t="s">
        <v>243</v>
      </c>
      <c r="B16" s="4" t="s">
        <v>65</v>
      </c>
      <c r="D16" s="23"/>
      <c r="E16" s="24"/>
    </row>
    <row r="17">
      <c r="A17" s="18" t="s">
        <v>244</v>
      </c>
      <c r="B17" s="4" t="s">
        <v>245</v>
      </c>
      <c r="D17" s="23"/>
      <c r="E17" s="24"/>
    </row>
    <row r="18">
      <c r="A18" s="23"/>
      <c r="D18" s="23"/>
      <c r="E18" s="24"/>
    </row>
    <row r="19">
      <c r="A19" s="23"/>
      <c r="D19" s="23"/>
      <c r="E19" s="24"/>
    </row>
    <row r="20">
      <c r="A20" s="18" t="s">
        <v>246</v>
      </c>
      <c r="B20" s="4">
        <v>70.0</v>
      </c>
      <c r="D20" s="23"/>
      <c r="E20" s="24"/>
    </row>
    <row r="21">
      <c r="A21" s="18" t="s">
        <v>221</v>
      </c>
      <c r="B21" s="4">
        <v>7.0</v>
      </c>
      <c r="D21" s="18" t="s">
        <v>222</v>
      </c>
      <c r="E21" s="19">
        <v>45387.0</v>
      </c>
    </row>
    <row r="22">
      <c r="A22" s="18" t="s">
        <v>223</v>
      </c>
      <c r="B22" s="4" t="s">
        <v>247</v>
      </c>
      <c r="D22" s="18" t="s">
        <v>225</v>
      </c>
      <c r="E22" s="20">
        <v>45.0</v>
      </c>
    </row>
    <row r="23">
      <c r="A23" s="18" t="s">
        <v>226</v>
      </c>
      <c r="B23" s="4">
        <v>6.0</v>
      </c>
      <c r="D23" s="18" t="s">
        <v>227</v>
      </c>
      <c r="E23" s="20">
        <v>3.0</v>
      </c>
    </row>
    <row r="24">
      <c r="A24" s="18" t="s">
        <v>228</v>
      </c>
      <c r="B24" s="4" t="s">
        <v>20</v>
      </c>
      <c r="D24" s="18" t="s">
        <v>229</v>
      </c>
      <c r="E24" s="20">
        <v>2.0</v>
      </c>
    </row>
    <row r="25">
      <c r="A25" s="18" t="s">
        <v>230</v>
      </c>
      <c r="B25" s="22">
        <v>45355.0</v>
      </c>
      <c r="D25" s="18" t="s">
        <v>231</v>
      </c>
      <c r="E25" s="20">
        <v>0.0</v>
      </c>
    </row>
    <row r="26">
      <c r="A26" s="18" t="s">
        <v>232</v>
      </c>
      <c r="B26" s="4">
        <v>3.0</v>
      </c>
      <c r="D26" s="18" t="s">
        <v>233</v>
      </c>
      <c r="E26" s="20" t="s">
        <v>20</v>
      </c>
    </row>
    <row r="27">
      <c r="A27" s="18" t="s">
        <v>234</v>
      </c>
      <c r="B27" s="4">
        <v>6.0</v>
      </c>
      <c r="D27" s="18" t="s">
        <v>235</v>
      </c>
      <c r="E27" s="20">
        <v>5.0</v>
      </c>
    </row>
    <row r="28">
      <c r="A28" s="18" t="s">
        <v>236</v>
      </c>
      <c r="B28" s="4">
        <v>4.0</v>
      </c>
      <c r="D28" s="18" t="s">
        <v>237</v>
      </c>
      <c r="E28" s="20">
        <v>1.0</v>
      </c>
    </row>
    <row r="29">
      <c r="A29" s="18" t="s">
        <v>238</v>
      </c>
      <c r="B29" s="4" t="s">
        <v>248</v>
      </c>
      <c r="D29" s="18" t="s">
        <v>240</v>
      </c>
      <c r="E29" s="20" t="s">
        <v>20</v>
      </c>
    </row>
    <row r="30">
      <c r="A30" s="18" t="s">
        <v>241</v>
      </c>
      <c r="B30" s="4" t="s">
        <v>249</v>
      </c>
      <c r="D30" s="23"/>
      <c r="E30" s="24"/>
    </row>
    <row r="31">
      <c r="A31" s="18" t="s">
        <v>243</v>
      </c>
      <c r="B31" s="4" t="s">
        <v>58</v>
      </c>
      <c r="D31" s="23"/>
      <c r="E31" s="24"/>
    </row>
    <row r="32">
      <c r="A32" s="18" t="s">
        <v>244</v>
      </c>
      <c r="B32" s="4" t="s">
        <v>250</v>
      </c>
      <c r="D32" s="23"/>
      <c r="E32" s="24"/>
    </row>
    <row r="33">
      <c r="A33" s="23"/>
      <c r="D33" s="23"/>
      <c r="E33" s="24"/>
    </row>
    <row r="34">
      <c r="A34" s="23"/>
      <c r="D34" s="23"/>
      <c r="E34" s="24"/>
    </row>
    <row r="35">
      <c r="A35" s="18" t="s">
        <v>251</v>
      </c>
      <c r="B35" s="4">
        <v>50.0</v>
      </c>
      <c r="D35" s="23"/>
      <c r="E35" s="24"/>
    </row>
    <row r="36">
      <c r="A36" s="18" t="s">
        <v>221</v>
      </c>
      <c r="B36" s="4">
        <v>9.0</v>
      </c>
      <c r="D36" s="18" t="s">
        <v>222</v>
      </c>
      <c r="E36" s="19">
        <v>45387.0</v>
      </c>
    </row>
    <row r="37">
      <c r="A37" s="18" t="s">
        <v>223</v>
      </c>
      <c r="B37" s="4" t="s">
        <v>252</v>
      </c>
      <c r="D37" s="18" t="s">
        <v>225</v>
      </c>
      <c r="E37" s="20">
        <v>40.0</v>
      </c>
    </row>
    <row r="38">
      <c r="A38" s="18" t="s">
        <v>226</v>
      </c>
      <c r="B38" s="4">
        <v>9.0</v>
      </c>
      <c r="D38" s="18" t="s">
        <v>227</v>
      </c>
      <c r="E38" s="20">
        <v>2.0</v>
      </c>
    </row>
    <row r="39">
      <c r="A39" s="18" t="s">
        <v>228</v>
      </c>
      <c r="B39" s="4" t="s">
        <v>20</v>
      </c>
      <c r="D39" s="18" t="s">
        <v>229</v>
      </c>
      <c r="E39" s="20">
        <v>3.0</v>
      </c>
    </row>
    <row r="40">
      <c r="A40" s="18" t="s">
        <v>230</v>
      </c>
      <c r="B40" s="22">
        <v>45325.0</v>
      </c>
      <c r="D40" s="18" t="s">
        <v>231</v>
      </c>
      <c r="E40" s="20">
        <v>0.0</v>
      </c>
    </row>
    <row r="41">
      <c r="A41" s="18" t="s">
        <v>232</v>
      </c>
      <c r="B41" s="4">
        <v>3.0</v>
      </c>
      <c r="D41" s="18" t="s">
        <v>233</v>
      </c>
      <c r="E41" s="20" t="s">
        <v>20</v>
      </c>
    </row>
    <row r="42">
      <c r="A42" s="18" t="s">
        <v>234</v>
      </c>
      <c r="B42" s="4">
        <v>6.0</v>
      </c>
      <c r="D42" s="18" t="s">
        <v>235</v>
      </c>
      <c r="E42" s="20">
        <v>30.0</v>
      </c>
    </row>
    <row r="43">
      <c r="A43" s="18" t="s">
        <v>236</v>
      </c>
      <c r="B43" s="4">
        <v>3.0</v>
      </c>
      <c r="D43" s="18" t="s">
        <v>237</v>
      </c>
      <c r="E43" s="20">
        <v>2.0</v>
      </c>
    </row>
    <row r="44">
      <c r="A44" s="18" t="s">
        <v>238</v>
      </c>
      <c r="B44" s="4" t="s">
        <v>239</v>
      </c>
      <c r="D44" s="18" t="s">
        <v>240</v>
      </c>
      <c r="E44" s="20" t="s">
        <v>20</v>
      </c>
    </row>
    <row r="45">
      <c r="A45" s="18" t="s">
        <v>241</v>
      </c>
      <c r="B45" s="4" t="s">
        <v>242</v>
      </c>
      <c r="D45" s="23"/>
      <c r="E45" s="24"/>
    </row>
    <row r="46">
      <c r="A46" s="18" t="s">
        <v>243</v>
      </c>
      <c r="B46" s="4" t="s">
        <v>65</v>
      </c>
      <c r="D46" s="23"/>
      <c r="E46" s="24"/>
    </row>
    <row r="47">
      <c r="A47" s="18" t="s">
        <v>244</v>
      </c>
      <c r="B47" s="4" t="s">
        <v>253</v>
      </c>
      <c r="D47" s="23"/>
      <c r="E47" s="24"/>
    </row>
    <row r="48">
      <c r="A48" s="23"/>
      <c r="D48" s="23"/>
      <c r="E48" s="24"/>
    </row>
    <row r="49">
      <c r="A49" s="23"/>
      <c r="D49" s="23"/>
      <c r="E49" s="24"/>
    </row>
    <row r="50">
      <c r="A50" s="18" t="s">
        <v>254</v>
      </c>
      <c r="B50" s="4">
        <v>10.0</v>
      </c>
      <c r="D50" s="23"/>
      <c r="E50" s="24"/>
    </row>
    <row r="51">
      <c r="A51" s="18" t="s">
        <v>221</v>
      </c>
      <c r="B51" s="4">
        <v>10.0</v>
      </c>
      <c r="D51" s="18" t="s">
        <v>222</v>
      </c>
      <c r="E51" s="19">
        <v>45325.0</v>
      </c>
    </row>
    <row r="52">
      <c r="A52" s="18" t="s">
        <v>223</v>
      </c>
      <c r="B52" s="4" t="s">
        <v>224</v>
      </c>
      <c r="D52" s="18" t="s">
        <v>225</v>
      </c>
      <c r="E52" s="20">
        <v>25.0</v>
      </c>
    </row>
    <row r="53">
      <c r="A53" s="18" t="s">
        <v>226</v>
      </c>
      <c r="B53" s="4">
        <v>8.0</v>
      </c>
      <c r="D53" s="18" t="s">
        <v>227</v>
      </c>
      <c r="E53" s="20">
        <v>1.0</v>
      </c>
    </row>
    <row r="54">
      <c r="A54" s="18" t="s">
        <v>228</v>
      </c>
      <c r="B54" s="4" t="s">
        <v>20</v>
      </c>
      <c r="D54" s="18" t="s">
        <v>229</v>
      </c>
      <c r="E54" s="20">
        <v>4.0</v>
      </c>
    </row>
    <row r="55">
      <c r="A55" s="18" t="s">
        <v>230</v>
      </c>
      <c r="B55" s="22">
        <v>45355.0</v>
      </c>
      <c r="D55" s="18" t="s">
        <v>231</v>
      </c>
      <c r="E55" s="20">
        <v>0.0</v>
      </c>
    </row>
    <row r="56">
      <c r="A56" s="18" t="s">
        <v>232</v>
      </c>
      <c r="B56" s="4">
        <v>2.0</v>
      </c>
      <c r="D56" s="18" t="s">
        <v>233</v>
      </c>
      <c r="E56" s="20" t="s">
        <v>20</v>
      </c>
    </row>
    <row r="57">
      <c r="A57" s="18" t="s">
        <v>234</v>
      </c>
      <c r="B57" s="4">
        <v>6.0</v>
      </c>
      <c r="D57" s="18" t="s">
        <v>235</v>
      </c>
      <c r="E57" s="20">
        <v>30.0</v>
      </c>
    </row>
    <row r="58">
      <c r="A58" s="18" t="s">
        <v>236</v>
      </c>
      <c r="B58" s="4">
        <v>3.0</v>
      </c>
      <c r="D58" s="18" t="s">
        <v>237</v>
      </c>
      <c r="E58" s="20">
        <v>2.0</v>
      </c>
    </row>
    <row r="59">
      <c r="A59" s="18" t="s">
        <v>238</v>
      </c>
      <c r="B59" s="4" t="s">
        <v>239</v>
      </c>
      <c r="D59" s="18" t="s">
        <v>240</v>
      </c>
      <c r="E59" s="20" t="s">
        <v>20</v>
      </c>
    </row>
    <row r="60">
      <c r="A60" s="18" t="s">
        <v>241</v>
      </c>
      <c r="B60" s="4" t="s">
        <v>242</v>
      </c>
      <c r="D60" s="23"/>
      <c r="E60" s="24"/>
    </row>
    <row r="61">
      <c r="A61" s="18" t="s">
        <v>243</v>
      </c>
      <c r="B61" s="4" t="s">
        <v>65</v>
      </c>
      <c r="D61" s="23"/>
      <c r="E61" s="24"/>
    </row>
    <row r="62">
      <c r="A62" s="18" t="s">
        <v>244</v>
      </c>
      <c r="B62" s="4" t="s">
        <v>255</v>
      </c>
      <c r="D62" s="23"/>
      <c r="E62" s="24"/>
    </row>
    <row r="63">
      <c r="A63" s="23"/>
      <c r="D63" s="23"/>
      <c r="E63" s="24"/>
    </row>
    <row r="64">
      <c r="A64" s="23"/>
      <c r="D64" s="23"/>
      <c r="E64" s="24"/>
    </row>
    <row r="65">
      <c r="A65" s="18" t="s">
        <v>256</v>
      </c>
      <c r="B65" s="4">
        <v>2.0</v>
      </c>
      <c r="D65" s="23"/>
      <c r="E65" s="24"/>
    </row>
    <row r="66">
      <c r="A66" s="18" t="s">
        <v>221</v>
      </c>
      <c r="B66" s="4" t="s">
        <v>257</v>
      </c>
      <c r="D66" s="18" t="s">
        <v>222</v>
      </c>
      <c r="E66" s="19">
        <v>45387.0</v>
      </c>
    </row>
    <row r="67">
      <c r="A67" s="18" t="s">
        <v>223</v>
      </c>
      <c r="B67" s="4" t="s">
        <v>257</v>
      </c>
      <c r="D67" s="18" t="s">
        <v>225</v>
      </c>
      <c r="E67" s="20">
        <v>25.0</v>
      </c>
    </row>
    <row r="68">
      <c r="A68" s="18" t="s">
        <v>226</v>
      </c>
      <c r="B68" s="4" t="s">
        <v>257</v>
      </c>
      <c r="D68" s="18" t="s">
        <v>227</v>
      </c>
      <c r="E68" s="20">
        <v>1.0</v>
      </c>
    </row>
    <row r="69">
      <c r="A69" s="18" t="s">
        <v>228</v>
      </c>
      <c r="B69" s="4" t="s">
        <v>257</v>
      </c>
      <c r="D69" s="18" t="s">
        <v>229</v>
      </c>
      <c r="E69" s="20">
        <v>2.0</v>
      </c>
    </row>
    <row r="70">
      <c r="A70" s="18" t="s">
        <v>230</v>
      </c>
      <c r="B70" s="4" t="s">
        <v>257</v>
      </c>
      <c r="D70" s="18" t="s">
        <v>231</v>
      </c>
      <c r="E70" s="20">
        <v>0.0</v>
      </c>
    </row>
    <row r="71">
      <c r="A71" s="18" t="s">
        <v>232</v>
      </c>
      <c r="B71" s="4" t="s">
        <v>257</v>
      </c>
      <c r="D71" s="18" t="s">
        <v>233</v>
      </c>
      <c r="E71" s="20" t="s">
        <v>20</v>
      </c>
    </row>
    <row r="72">
      <c r="A72" s="18" t="s">
        <v>234</v>
      </c>
      <c r="B72" s="4" t="s">
        <v>257</v>
      </c>
      <c r="D72" s="18" t="s">
        <v>235</v>
      </c>
      <c r="E72" s="20">
        <v>20.0</v>
      </c>
    </row>
    <row r="73">
      <c r="A73" s="18" t="s">
        <v>236</v>
      </c>
      <c r="B73" s="4" t="s">
        <v>257</v>
      </c>
      <c r="D73" s="18" t="s">
        <v>237</v>
      </c>
      <c r="E73" s="20">
        <v>2.0</v>
      </c>
    </row>
    <row r="74">
      <c r="A74" s="18" t="s">
        <v>238</v>
      </c>
      <c r="B74" s="4" t="s">
        <v>257</v>
      </c>
      <c r="D74" s="18" t="s">
        <v>240</v>
      </c>
      <c r="E74" s="20" t="s">
        <v>20</v>
      </c>
    </row>
    <row r="75">
      <c r="A75" s="18" t="s">
        <v>241</v>
      </c>
      <c r="B75" s="4" t="s">
        <v>257</v>
      </c>
      <c r="D75" s="23"/>
      <c r="E75" s="24"/>
    </row>
    <row r="76">
      <c r="A76" s="18" t="s">
        <v>243</v>
      </c>
      <c r="B76" s="4" t="s">
        <v>257</v>
      </c>
      <c r="D76" s="23"/>
      <c r="E76" s="24"/>
    </row>
    <row r="77">
      <c r="A77" s="18" t="s">
        <v>244</v>
      </c>
      <c r="B77" s="4" t="s">
        <v>258</v>
      </c>
      <c r="D77" s="23"/>
      <c r="E77" s="24"/>
    </row>
    <row r="78">
      <c r="A78" s="23"/>
      <c r="D78" s="23"/>
      <c r="E78" s="24"/>
    </row>
    <row r="79">
      <c r="A79" s="23"/>
      <c r="D79" s="23"/>
      <c r="E79" s="24"/>
    </row>
    <row r="80">
      <c r="A80" s="18" t="s">
        <v>259</v>
      </c>
      <c r="B80" s="4">
        <v>90.0</v>
      </c>
      <c r="D80" s="23"/>
      <c r="E80" s="24"/>
    </row>
    <row r="81">
      <c r="A81" s="18" t="s">
        <v>221</v>
      </c>
      <c r="B81" s="4">
        <v>12.0</v>
      </c>
      <c r="D81" s="18" t="s">
        <v>222</v>
      </c>
      <c r="E81" s="19">
        <v>45386.0</v>
      </c>
    </row>
    <row r="82">
      <c r="A82" s="18" t="s">
        <v>223</v>
      </c>
      <c r="B82" s="4" t="s">
        <v>260</v>
      </c>
      <c r="D82" s="18" t="s">
        <v>225</v>
      </c>
      <c r="E82" s="20">
        <v>25.0</v>
      </c>
    </row>
    <row r="83">
      <c r="A83" s="18" t="s">
        <v>226</v>
      </c>
      <c r="B83" s="4">
        <v>10.0</v>
      </c>
      <c r="D83" s="18" t="s">
        <v>227</v>
      </c>
      <c r="E83" s="20">
        <v>2.0</v>
      </c>
    </row>
    <row r="84">
      <c r="A84" s="18" t="s">
        <v>228</v>
      </c>
      <c r="B84" s="4" t="s">
        <v>20</v>
      </c>
      <c r="D84" s="18" t="s">
        <v>229</v>
      </c>
      <c r="E84" s="20">
        <v>5.0</v>
      </c>
    </row>
    <row r="85">
      <c r="A85" s="18" t="s">
        <v>230</v>
      </c>
      <c r="B85" s="22">
        <v>45325.0</v>
      </c>
      <c r="D85" s="18" t="s">
        <v>231</v>
      </c>
      <c r="E85" s="20">
        <v>1.0</v>
      </c>
    </row>
    <row r="86">
      <c r="A86" s="18" t="s">
        <v>232</v>
      </c>
      <c r="B86" s="4">
        <v>2.0</v>
      </c>
      <c r="D86" s="18" t="s">
        <v>233</v>
      </c>
      <c r="E86" s="20" t="s">
        <v>20</v>
      </c>
    </row>
    <row r="87">
      <c r="A87" s="18" t="s">
        <v>234</v>
      </c>
      <c r="B87" s="4">
        <v>6.0</v>
      </c>
      <c r="D87" s="18" t="s">
        <v>235</v>
      </c>
      <c r="E87" s="20">
        <v>40.0</v>
      </c>
    </row>
    <row r="88">
      <c r="A88" s="18" t="s">
        <v>236</v>
      </c>
      <c r="B88" s="4">
        <v>2.0</v>
      </c>
      <c r="D88" s="18" t="s">
        <v>237</v>
      </c>
      <c r="E88" s="20">
        <v>2.0</v>
      </c>
    </row>
    <row r="89">
      <c r="A89" s="18" t="s">
        <v>238</v>
      </c>
      <c r="B89" s="4" t="s">
        <v>261</v>
      </c>
      <c r="D89" s="18" t="s">
        <v>240</v>
      </c>
      <c r="E89" s="20" t="s">
        <v>20</v>
      </c>
    </row>
    <row r="90">
      <c r="A90" s="18" t="s">
        <v>241</v>
      </c>
      <c r="B90" s="4" t="s">
        <v>262</v>
      </c>
    </row>
    <row r="91">
      <c r="A91" s="18" t="s">
        <v>243</v>
      </c>
      <c r="B91" s="4" t="s">
        <v>71</v>
      </c>
    </row>
    <row r="92">
      <c r="A92" s="18" t="s">
        <v>244</v>
      </c>
      <c r="B92" s="4" t="s">
        <v>263</v>
      </c>
    </row>
    <row r="95">
      <c r="A95" s="18" t="s">
        <v>264</v>
      </c>
    </row>
    <row r="97">
      <c r="A97" s="4" t="s">
        <v>265</v>
      </c>
      <c r="B97" s="4">
        <v>40.0</v>
      </c>
    </row>
    <row r="98">
      <c r="D98" s="18" t="s">
        <v>222</v>
      </c>
      <c r="E98" s="22">
        <v>45422.0</v>
      </c>
    </row>
    <row r="99">
      <c r="D99" s="18" t="s">
        <v>225</v>
      </c>
      <c r="E99" s="4">
        <v>15.0</v>
      </c>
    </row>
    <row r="100">
      <c r="D100" s="18" t="s">
        <v>227</v>
      </c>
      <c r="E100" s="4">
        <v>1.0</v>
      </c>
    </row>
    <row r="101">
      <c r="D101" s="18" t="s">
        <v>229</v>
      </c>
      <c r="E101" s="4">
        <v>5.0</v>
      </c>
    </row>
    <row r="102">
      <c r="D102" s="18" t="s">
        <v>231</v>
      </c>
      <c r="E102" s="4">
        <v>0.0</v>
      </c>
    </row>
    <row r="103">
      <c r="D103" s="18" t="s">
        <v>233</v>
      </c>
      <c r="E103" s="4">
        <v>54.0</v>
      </c>
    </row>
    <row r="104">
      <c r="D104" s="18" t="s">
        <v>235</v>
      </c>
      <c r="E104" s="4">
        <v>1000.0</v>
      </c>
    </row>
    <row r="105">
      <c r="D105" s="18" t="s">
        <v>237</v>
      </c>
      <c r="E105" s="4">
        <v>2.0</v>
      </c>
    </row>
    <row r="106">
      <c r="D106" s="18" t="s">
        <v>240</v>
      </c>
      <c r="E106" s="4">
        <v>2.0</v>
      </c>
    </row>
    <row r="109">
      <c r="A109" s="4" t="s">
        <v>266</v>
      </c>
      <c r="B109" s="4">
        <v>60.0</v>
      </c>
    </row>
    <row r="110">
      <c r="D110" s="18" t="s">
        <v>222</v>
      </c>
      <c r="E110" s="22">
        <v>45420.0</v>
      </c>
    </row>
    <row r="111">
      <c r="D111" s="18" t="s">
        <v>225</v>
      </c>
      <c r="E111" s="4">
        <v>20.0</v>
      </c>
    </row>
    <row r="112">
      <c r="D112" s="18" t="s">
        <v>227</v>
      </c>
      <c r="E112" s="4">
        <v>2.0</v>
      </c>
    </row>
    <row r="113">
      <c r="D113" s="18" t="s">
        <v>229</v>
      </c>
      <c r="E113" s="4">
        <v>3.0</v>
      </c>
    </row>
    <row r="114">
      <c r="D114" s="18" t="s">
        <v>231</v>
      </c>
      <c r="E114" s="4">
        <v>0.0</v>
      </c>
    </row>
    <row r="115">
      <c r="D115" s="18" t="s">
        <v>233</v>
      </c>
      <c r="E115" s="4">
        <v>40.0</v>
      </c>
    </row>
    <row r="116">
      <c r="D116" s="18" t="s">
        <v>235</v>
      </c>
      <c r="E116" s="4">
        <v>600.0</v>
      </c>
    </row>
    <row r="117">
      <c r="D117" s="18" t="s">
        <v>237</v>
      </c>
      <c r="E117" s="4">
        <v>3.0</v>
      </c>
    </row>
    <row r="118">
      <c r="D118" s="18" t="s">
        <v>240</v>
      </c>
      <c r="E118" s="4">
        <v>3.0</v>
      </c>
    </row>
    <row r="121">
      <c r="A121" s="4" t="s">
        <v>267</v>
      </c>
      <c r="B121" s="4">
        <v>200.0</v>
      </c>
    </row>
    <row r="122">
      <c r="D122" s="18" t="s">
        <v>222</v>
      </c>
      <c r="E122" s="22">
        <v>45388.0</v>
      </c>
    </row>
    <row r="123">
      <c r="D123" s="18" t="s">
        <v>225</v>
      </c>
      <c r="E123" s="4">
        <v>30.0</v>
      </c>
    </row>
    <row r="124">
      <c r="D124" s="18" t="s">
        <v>227</v>
      </c>
      <c r="E124" s="4">
        <v>3.0</v>
      </c>
    </row>
    <row r="125">
      <c r="D125" s="18" t="s">
        <v>229</v>
      </c>
      <c r="E125" s="4">
        <v>2.0</v>
      </c>
    </row>
    <row r="126">
      <c r="D126" s="18" t="s">
        <v>231</v>
      </c>
      <c r="E126" s="4">
        <v>1.0</v>
      </c>
    </row>
    <row r="127">
      <c r="D127" s="18" t="s">
        <v>233</v>
      </c>
      <c r="E127" s="4">
        <v>20.0</v>
      </c>
    </row>
    <row r="128">
      <c r="D128" s="18" t="s">
        <v>235</v>
      </c>
      <c r="E128" s="4">
        <v>400.0</v>
      </c>
    </row>
    <row r="129">
      <c r="D129" s="18" t="s">
        <v>237</v>
      </c>
      <c r="E129" s="4">
        <v>6.0</v>
      </c>
    </row>
    <row r="130">
      <c r="D130" s="18" t="s">
        <v>240</v>
      </c>
      <c r="E130" s="4">
        <v>4.0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0"/>
    <col customWidth="1" min="3" max="3" width="148.43"/>
  </cols>
  <sheetData>
    <row r="3">
      <c r="A3" s="4" t="s">
        <v>268</v>
      </c>
    </row>
    <row r="4">
      <c r="A4" s="4" t="s">
        <v>269</v>
      </c>
    </row>
    <row r="6">
      <c r="A6" s="4" t="s">
        <v>270</v>
      </c>
    </row>
    <row r="9">
      <c r="A9" s="25" t="s">
        <v>271</v>
      </c>
      <c r="B9" s="25" t="s">
        <v>7</v>
      </c>
      <c r="C9" s="25" t="s">
        <v>244</v>
      </c>
    </row>
    <row r="10">
      <c r="A10" s="4" t="s">
        <v>272</v>
      </c>
      <c r="B10" s="2">
        <v>25.0</v>
      </c>
      <c r="C10" s="4" t="s">
        <v>273</v>
      </c>
      <c r="D10" s="4" t="s">
        <v>274</v>
      </c>
    </row>
    <row r="11">
      <c r="A11" s="4" t="s">
        <v>275</v>
      </c>
      <c r="B11" s="2">
        <v>50.0</v>
      </c>
      <c r="C11" s="4" t="s">
        <v>276</v>
      </c>
      <c r="D11" s="26" t="s">
        <v>277</v>
      </c>
    </row>
    <row r="12">
      <c r="A12" s="4" t="s">
        <v>278</v>
      </c>
      <c r="B12" s="2">
        <v>1000.0</v>
      </c>
      <c r="C12" s="4" t="s">
        <v>279</v>
      </c>
      <c r="D12" s="26" t="s">
        <v>280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9.0"/>
    <col customWidth="1" min="2" max="2" width="12.14"/>
    <col customWidth="1" min="3" max="3" width="15.14"/>
    <col customWidth="1" min="4" max="4" width="11.71"/>
    <col customWidth="1" min="5" max="5" width="13.86"/>
    <col customWidth="1" min="6" max="7" width="11.71"/>
    <col customWidth="1" min="8" max="17" width="11.14"/>
    <col customWidth="1" min="18" max="26" width="9.0"/>
  </cols>
  <sheetData>
    <row r="1" ht="18.75" customHeight="1">
      <c r="A1" s="27"/>
      <c r="B1" s="27"/>
      <c r="C1" s="27"/>
      <c r="D1" s="27"/>
      <c r="E1" s="27"/>
      <c r="F1" s="27"/>
      <c r="G1" s="27"/>
      <c r="H1" s="27"/>
      <c r="I1" s="27"/>
      <c r="J1" s="27"/>
      <c r="K1" s="27"/>
      <c r="L1" s="27"/>
      <c r="M1" s="27"/>
      <c r="N1" s="27"/>
      <c r="O1" s="27"/>
      <c r="P1" s="27"/>
      <c r="Q1" s="27"/>
      <c r="R1" s="27"/>
      <c r="S1" s="27"/>
      <c r="T1" s="27"/>
      <c r="U1" s="27"/>
      <c r="V1" s="27"/>
      <c r="W1" s="27"/>
      <c r="X1" s="27"/>
      <c r="Y1" s="27"/>
      <c r="Z1" s="27"/>
    </row>
    <row r="2" ht="18.75" customHeight="1">
      <c r="A2" s="27"/>
      <c r="B2" s="28" t="s">
        <v>281</v>
      </c>
      <c r="C2" s="29"/>
      <c r="D2" s="29"/>
      <c r="E2" s="30"/>
      <c r="F2" s="27"/>
      <c r="G2" s="31" t="s">
        <v>282</v>
      </c>
      <c r="H2" s="27"/>
      <c r="I2" s="27"/>
      <c r="J2" s="27"/>
      <c r="K2" s="27"/>
      <c r="L2" s="27"/>
      <c r="M2" s="27"/>
      <c r="N2" s="27"/>
      <c r="O2" s="27"/>
      <c r="P2" s="27"/>
      <c r="Q2" s="27"/>
      <c r="R2" s="27"/>
      <c r="S2" s="27"/>
      <c r="T2" s="27"/>
      <c r="U2" s="27"/>
      <c r="V2" s="27"/>
      <c r="W2" s="27"/>
      <c r="X2" s="27"/>
      <c r="Y2" s="27"/>
      <c r="Z2" s="27"/>
    </row>
    <row r="3" ht="18.75" customHeight="1">
      <c r="A3" s="27"/>
      <c r="B3" s="32"/>
      <c r="E3" s="33"/>
      <c r="F3" s="27"/>
      <c r="G3" s="27"/>
      <c r="H3" s="34" t="s">
        <v>58</v>
      </c>
      <c r="I3" s="34"/>
      <c r="J3" s="34" t="s">
        <v>283</v>
      </c>
      <c r="K3" s="34"/>
      <c r="L3" s="34"/>
      <c r="M3" s="34" t="s">
        <v>284</v>
      </c>
      <c r="N3" s="34"/>
      <c r="O3" s="34"/>
      <c r="P3" s="34"/>
      <c r="Q3" s="34" t="s">
        <v>285</v>
      </c>
      <c r="R3" s="27"/>
      <c r="S3" s="27"/>
      <c r="T3" s="27"/>
      <c r="U3" s="27"/>
      <c r="V3" s="27"/>
      <c r="W3" s="27"/>
      <c r="X3" s="27"/>
      <c r="Y3" s="27"/>
      <c r="Z3" s="27"/>
    </row>
    <row r="4" ht="18.75" customHeight="1">
      <c r="A4" s="27"/>
      <c r="B4" s="35"/>
      <c r="C4" s="36"/>
      <c r="D4" s="36"/>
      <c r="E4" s="37"/>
      <c r="F4" s="27"/>
      <c r="G4" s="38" t="s">
        <v>286</v>
      </c>
      <c r="H4" s="39" t="s">
        <v>287</v>
      </c>
      <c r="I4" s="40"/>
      <c r="J4" s="41" t="s">
        <v>288</v>
      </c>
      <c r="K4" s="42"/>
      <c r="L4" s="40"/>
      <c r="M4" s="39" t="s">
        <v>289</v>
      </c>
      <c r="N4" s="43"/>
      <c r="O4" s="44"/>
      <c r="P4" s="43"/>
      <c r="Q4" s="44"/>
      <c r="R4" s="27"/>
      <c r="S4" s="27"/>
      <c r="T4" s="27"/>
      <c r="U4" s="27"/>
      <c r="V4" s="27"/>
      <c r="W4" s="27"/>
      <c r="X4" s="27"/>
      <c r="Y4" s="27"/>
      <c r="Z4" s="27"/>
    </row>
    <row r="5" ht="18.75" customHeight="1">
      <c r="A5" s="27"/>
      <c r="B5" s="27"/>
      <c r="C5" s="27"/>
      <c r="D5" s="27"/>
      <c r="E5" s="27"/>
      <c r="F5" s="27"/>
      <c r="G5" s="45" t="s">
        <v>5</v>
      </c>
      <c r="H5" s="46" t="s">
        <v>290</v>
      </c>
      <c r="I5" s="47"/>
      <c r="J5" s="48" t="s">
        <v>291</v>
      </c>
      <c r="K5" s="49"/>
      <c r="L5" s="47"/>
      <c r="M5" s="46" t="s">
        <v>292</v>
      </c>
      <c r="N5" s="50"/>
      <c r="O5" s="51"/>
      <c r="P5" s="50"/>
      <c r="Q5" s="51"/>
      <c r="R5" s="27"/>
      <c r="S5" s="27"/>
      <c r="T5" s="27"/>
      <c r="U5" s="27"/>
      <c r="V5" s="27"/>
      <c r="W5" s="27"/>
      <c r="X5" s="27"/>
      <c r="Y5" s="27"/>
      <c r="Z5" s="27"/>
    </row>
    <row r="6" ht="18.75" customHeight="1">
      <c r="A6" s="27"/>
      <c r="B6" s="28" t="s">
        <v>293</v>
      </c>
      <c r="C6" s="30"/>
      <c r="D6" s="52"/>
      <c r="E6" s="52" t="s">
        <v>294</v>
      </c>
      <c r="F6" s="27"/>
      <c r="G6" s="53"/>
      <c r="H6" s="54"/>
      <c r="I6" s="54"/>
      <c r="J6" s="55"/>
      <c r="K6" s="54"/>
      <c r="L6" s="54"/>
      <c r="M6" s="54"/>
      <c r="N6" s="53"/>
      <c r="O6" s="53"/>
      <c r="P6" s="53"/>
      <c r="Q6" s="53"/>
      <c r="R6" s="27"/>
      <c r="S6" s="27"/>
      <c r="T6" s="27"/>
      <c r="U6" s="27"/>
      <c r="V6" s="27"/>
      <c r="W6" s="27"/>
      <c r="X6" s="27"/>
      <c r="Y6" s="27"/>
      <c r="Z6" s="27"/>
    </row>
    <row r="7" ht="18.75" customHeight="1">
      <c r="A7" s="27"/>
      <c r="B7" s="35"/>
      <c r="C7" s="37"/>
      <c r="D7" s="56" t="s">
        <v>295</v>
      </c>
      <c r="E7" s="57"/>
      <c r="F7" s="27"/>
      <c r="G7" s="38" t="s">
        <v>296</v>
      </c>
      <c r="H7" s="42" t="s">
        <v>287</v>
      </c>
      <c r="I7" s="40"/>
      <c r="J7" s="58" t="s">
        <v>288</v>
      </c>
      <c r="K7" s="42"/>
      <c r="L7" s="40"/>
      <c r="M7" s="42" t="s">
        <v>289</v>
      </c>
      <c r="N7" s="43"/>
      <c r="O7" s="44"/>
      <c r="P7" s="43"/>
      <c r="Q7" s="42" t="s">
        <v>297</v>
      </c>
      <c r="R7" s="27"/>
      <c r="S7" s="27"/>
      <c r="T7" s="27"/>
      <c r="U7" s="27"/>
      <c r="V7" s="27"/>
      <c r="W7" s="27"/>
      <c r="X7" s="27"/>
      <c r="Y7" s="27"/>
      <c r="Z7" s="27"/>
    </row>
    <row r="8" ht="18.75" customHeight="1">
      <c r="A8" s="27"/>
      <c r="B8" s="27"/>
      <c r="C8" s="27"/>
      <c r="D8" s="27"/>
      <c r="E8" s="27"/>
      <c r="F8" s="27"/>
      <c r="G8" s="45" t="s">
        <v>5</v>
      </c>
      <c r="H8" s="49" t="s">
        <v>290</v>
      </c>
      <c r="I8" s="47"/>
      <c r="J8" s="59" t="s">
        <v>291</v>
      </c>
      <c r="K8" s="49"/>
      <c r="L8" s="47"/>
      <c r="M8" s="49" t="s">
        <v>292</v>
      </c>
      <c r="N8" s="50"/>
      <c r="O8" s="51"/>
      <c r="P8" s="50"/>
      <c r="Q8" s="57"/>
      <c r="R8" s="27"/>
      <c r="S8" s="27"/>
      <c r="T8" s="27"/>
      <c r="U8" s="27"/>
      <c r="V8" s="27"/>
      <c r="W8" s="27"/>
      <c r="X8" s="27"/>
      <c r="Y8" s="27"/>
      <c r="Z8" s="27"/>
    </row>
    <row r="9" ht="18.75" customHeight="1">
      <c r="A9" s="27"/>
      <c r="B9" s="27"/>
      <c r="C9" s="27"/>
      <c r="D9" s="27"/>
      <c r="E9" s="27"/>
      <c r="F9" s="27"/>
      <c r="G9" s="53"/>
      <c r="H9" s="54"/>
      <c r="I9" s="54"/>
      <c r="J9" s="55"/>
      <c r="K9" s="54"/>
      <c r="L9" s="54"/>
      <c r="M9" s="54"/>
      <c r="N9" s="53"/>
      <c r="O9" s="53"/>
      <c r="P9" s="53"/>
      <c r="Q9" s="53"/>
      <c r="R9" s="27"/>
      <c r="S9" s="27"/>
      <c r="T9" s="27"/>
      <c r="U9" s="27"/>
      <c r="V9" s="27"/>
      <c r="W9" s="27"/>
      <c r="X9" s="27"/>
      <c r="Y9" s="27"/>
      <c r="Z9" s="27"/>
    </row>
    <row r="10" ht="18.75" customHeight="1">
      <c r="A10" s="27"/>
      <c r="B10" s="38" t="s">
        <v>244</v>
      </c>
      <c r="C10" s="43"/>
      <c r="D10" s="43"/>
      <c r="E10" s="60"/>
      <c r="F10" s="27"/>
      <c r="G10" s="38" t="s">
        <v>298</v>
      </c>
      <c r="H10" s="42" t="s">
        <v>287</v>
      </c>
      <c r="I10" s="40"/>
      <c r="J10" s="58" t="s">
        <v>288</v>
      </c>
      <c r="K10" s="42"/>
      <c r="L10" s="40"/>
      <c r="M10" s="42" t="s">
        <v>289</v>
      </c>
      <c r="N10" s="43"/>
      <c r="O10" s="44"/>
      <c r="P10" s="43"/>
      <c r="Q10" s="42" t="s">
        <v>297</v>
      </c>
      <c r="R10" s="27"/>
      <c r="S10" s="27"/>
      <c r="T10" s="27"/>
      <c r="U10" s="27"/>
      <c r="V10" s="27"/>
      <c r="W10" s="27"/>
      <c r="X10" s="27"/>
      <c r="Y10" s="27"/>
      <c r="Z10" s="27"/>
    </row>
    <row r="11" ht="18.75" customHeight="1">
      <c r="A11" s="27"/>
      <c r="B11" s="45"/>
      <c r="C11" s="50"/>
      <c r="D11" s="50"/>
      <c r="E11" s="61"/>
      <c r="F11" s="27"/>
      <c r="G11" s="45" t="s">
        <v>5</v>
      </c>
      <c r="H11" s="49" t="s">
        <v>290</v>
      </c>
      <c r="I11" s="47"/>
      <c r="J11" s="59" t="s">
        <v>291</v>
      </c>
      <c r="K11" s="49"/>
      <c r="L11" s="47"/>
      <c r="M11" s="49" t="s">
        <v>292</v>
      </c>
      <c r="N11" s="50"/>
      <c r="O11" s="51"/>
      <c r="P11" s="50"/>
      <c r="Q11" s="57"/>
      <c r="R11" s="27"/>
      <c r="S11" s="27"/>
      <c r="T11" s="27"/>
      <c r="U11" s="27"/>
      <c r="V11" s="27"/>
      <c r="W11" s="27"/>
      <c r="X11" s="27"/>
      <c r="Y11" s="27"/>
      <c r="Z11" s="27"/>
    </row>
    <row r="12" ht="18.75" customHeight="1">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ht="18.75" customHeight="1">
      <c r="A13" s="27"/>
      <c r="B13" s="38" t="s">
        <v>57</v>
      </c>
      <c r="C13" s="43"/>
      <c r="D13" s="43"/>
      <c r="E13" s="60"/>
      <c r="F13" s="27"/>
      <c r="G13" s="27"/>
      <c r="H13" s="27"/>
      <c r="I13" s="27"/>
      <c r="J13" s="27"/>
      <c r="K13" s="27"/>
      <c r="L13" s="27"/>
      <c r="M13" s="27" t="s">
        <v>299</v>
      </c>
      <c r="N13" s="27"/>
      <c r="O13" s="27"/>
      <c r="P13" s="62"/>
      <c r="Q13" s="27"/>
      <c r="R13" s="27"/>
      <c r="S13" s="27"/>
      <c r="T13" s="27"/>
      <c r="U13" s="27"/>
      <c r="V13" s="27"/>
      <c r="W13" s="27"/>
      <c r="X13" s="27"/>
      <c r="Y13" s="27"/>
      <c r="Z13" s="27"/>
    </row>
    <row r="14" ht="18.75" customHeight="1">
      <c r="A14" s="27"/>
      <c r="B14" s="45"/>
      <c r="C14" s="50"/>
      <c r="D14" s="50"/>
      <c r="E14" s="61"/>
      <c r="F14" s="27"/>
      <c r="G14" s="27"/>
      <c r="H14" s="27"/>
      <c r="I14" s="27"/>
      <c r="J14" s="27"/>
      <c r="K14" s="27"/>
      <c r="L14" s="27"/>
      <c r="M14" s="27"/>
      <c r="N14" s="27"/>
      <c r="O14" s="27"/>
      <c r="P14" s="27"/>
      <c r="Q14" s="27"/>
      <c r="R14" s="27"/>
      <c r="S14" s="27"/>
      <c r="T14" s="27"/>
      <c r="U14" s="27"/>
      <c r="V14" s="27"/>
      <c r="W14" s="27"/>
      <c r="X14" s="27"/>
      <c r="Y14" s="27"/>
      <c r="Z14" s="27"/>
    </row>
    <row r="15" ht="18.75" customHeight="1">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ht="18.75" customHeight="1">
      <c r="A16" s="27"/>
      <c r="B16" s="63" t="s">
        <v>300</v>
      </c>
      <c r="C16" s="64"/>
      <c r="D16" s="64"/>
      <c r="E16" s="64"/>
      <c r="F16" s="64"/>
      <c r="G16" s="64"/>
      <c r="H16" s="64"/>
      <c r="I16" s="43"/>
      <c r="J16" s="43"/>
      <c r="K16" s="60"/>
      <c r="L16" s="38" t="s">
        <v>301</v>
      </c>
      <c r="M16" s="60"/>
      <c r="N16" s="38" t="s">
        <v>302</v>
      </c>
      <c r="O16" s="43"/>
      <c r="P16" s="43"/>
      <c r="Q16" s="60"/>
      <c r="R16" s="27"/>
      <c r="S16" s="27"/>
      <c r="T16" s="27"/>
      <c r="U16" s="27"/>
      <c r="V16" s="27"/>
      <c r="W16" s="27"/>
      <c r="X16" s="27"/>
      <c r="Y16" s="27"/>
      <c r="Z16" s="27"/>
    </row>
    <row r="17" ht="18.75" customHeight="1">
      <c r="A17" s="27"/>
      <c r="B17" s="65"/>
      <c r="C17" s="34" t="s">
        <v>281</v>
      </c>
      <c r="D17" s="34" t="s">
        <v>303</v>
      </c>
      <c r="E17" s="34" t="s">
        <v>304</v>
      </c>
      <c r="F17" s="34" t="s">
        <v>305</v>
      </c>
      <c r="G17" s="34" t="s">
        <v>306</v>
      </c>
      <c r="H17" s="34" t="s">
        <v>307</v>
      </c>
      <c r="I17" s="27"/>
      <c r="J17" s="28" t="s">
        <v>308</v>
      </c>
      <c r="K17" s="30"/>
      <c r="L17" s="28" t="s">
        <v>309</v>
      </c>
      <c r="M17" s="30"/>
      <c r="N17" s="66"/>
      <c r="O17" s="27" t="s">
        <v>303</v>
      </c>
      <c r="P17" s="27"/>
      <c r="Q17" s="67"/>
      <c r="R17" s="27"/>
      <c r="S17" s="27"/>
      <c r="T17" s="27"/>
      <c r="U17" s="27"/>
      <c r="V17" s="27"/>
      <c r="W17" s="27"/>
      <c r="X17" s="27"/>
      <c r="Y17" s="27"/>
      <c r="Z17" s="27"/>
    </row>
    <row r="18" ht="18.75" customHeight="1">
      <c r="A18" s="27"/>
      <c r="B18" s="66"/>
      <c r="C18" s="68" t="s">
        <v>310</v>
      </c>
      <c r="D18" s="69"/>
      <c r="E18" s="69"/>
      <c r="F18" s="69"/>
      <c r="G18" s="69"/>
      <c r="H18" s="69"/>
      <c r="I18" s="27"/>
      <c r="J18" s="32"/>
      <c r="K18" s="33"/>
      <c r="L18" s="32"/>
      <c r="M18" s="33"/>
      <c r="N18" s="66" t="s">
        <v>281</v>
      </c>
      <c r="O18" s="27" t="s">
        <v>311</v>
      </c>
      <c r="P18" s="27" t="s">
        <v>306</v>
      </c>
      <c r="Q18" s="67" t="s">
        <v>307</v>
      </c>
      <c r="R18" s="27"/>
      <c r="S18" s="27"/>
      <c r="T18" s="27"/>
      <c r="U18" s="27"/>
      <c r="V18" s="27"/>
      <c r="W18" s="27"/>
      <c r="X18" s="27"/>
      <c r="Y18" s="27"/>
      <c r="Z18" s="27"/>
    </row>
    <row r="19" ht="18.75" customHeight="1">
      <c r="A19" s="27"/>
      <c r="B19" s="66"/>
      <c r="C19" s="68" t="s">
        <v>312</v>
      </c>
      <c r="D19" s="69"/>
      <c r="E19" s="69"/>
      <c r="F19" s="69"/>
      <c r="G19" s="69"/>
      <c r="H19" s="69"/>
      <c r="I19" s="27"/>
      <c r="J19" s="32"/>
      <c r="K19" s="33"/>
      <c r="L19" s="35"/>
      <c r="M19" s="37"/>
      <c r="N19" s="70" t="s">
        <v>313</v>
      </c>
      <c r="O19" s="69"/>
      <c r="P19" s="69"/>
      <c r="Q19" s="71"/>
      <c r="R19" s="27"/>
      <c r="S19" s="27"/>
      <c r="T19" s="27"/>
      <c r="U19" s="27"/>
      <c r="V19" s="27"/>
      <c r="W19" s="27"/>
      <c r="X19" s="27"/>
      <c r="Y19" s="27"/>
      <c r="Z19" s="27"/>
    </row>
    <row r="20" ht="18.75" customHeight="1">
      <c r="A20" s="27"/>
      <c r="B20" s="66"/>
      <c r="C20" s="68" t="s">
        <v>314</v>
      </c>
      <c r="D20" s="69"/>
      <c r="E20" s="69"/>
      <c r="F20" s="69"/>
      <c r="G20" s="69"/>
      <c r="H20" s="69"/>
      <c r="I20" s="27"/>
      <c r="J20" s="35"/>
      <c r="K20" s="37"/>
      <c r="L20" s="66"/>
      <c r="M20" s="67"/>
      <c r="N20" s="70"/>
      <c r="O20" s="69"/>
      <c r="P20" s="69"/>
      <c r="Q20" s="71"/>
      <c r="R20" s="27"/>
      <c r="S20" s="27"/>
      <c r="T20" s="27"/>
      <c r="U20" s="27"/>
      <c r="V20" s="27"/>
      <c r="W20" s="27"/>
      <c r="X20" s="27"/>
      <c r="Y20" s="27"/>
      <c r="Z20" s="27"/>
    </row>
    <row r="21" ht="18.75" customHeight="1">
      <c r="A21" s="27"/>
      <c r="B21" s="66"/>
      <c r="C21" s="68" t="s">
        <v>315</v>
      </c>
      <c r="D21" s="69"/>
      <c r="E21" s="69"/>
      <c r="F21" s="69"/>
      <c r="G21" s="69"/>
      <c r="H21" s="69"/>
      <c r="I21" s="27"/>
      <c r="J21" s="27"/>
      <c r="K21" s="67"/>
      <c r="L21" s="28" t="s">
        <v>316</v>
      </c>
      <c r="M21" s="30"/>
      <c r="N21" s="70"/>
      <c r="O21" s="69"/>
      <c r="P21" s="69"/>
      <c r="Q21" s="71"/>
      <c r="R21" s="27"/>
      <c r="S21" s="27"/>
      <c r="T21" s="27"/>
      <c r="U21" s="27"/>
      <c r="V21" s="27"/>
      <c r="W21" s="27"/>
      <c r="X21" s="27"/>
      <c r="Y21" s="27"/>
      <c r="Z21" s="27"/>
    </row>
    <row r="22" ht="18.75" customHeight="1">
      <c r="A22" s="27"/>
      <c r="B22" s="66"/>
      <c r="C22" s="68" t="s">
        <v>317</v>
      </c>
      <c r="D22" s="69"/>
      <c r="E22" s="69"/>
      <c r="F22" s="69"/>
      <c r="G22" s="69"/>
      <c r="H22" s="69"/>
      <c r="I22" s="27"/>
      <c r="J22" s="28" t="s">
        <v>318</v>
      </c>
      <c r="K22" s="30"/>
      <c r="L22" s="32"/>
      <c r="M22" s="33"/>
      <c r="N22" s="70"/>
      <c r="O22" s="69"/>
      <c r="P22" s="69"/>
      <c r="Q22" s="71"/>
      <c r="R22" s="27"/>
      <c r="S22" s="27"/>
      <c r="T22" s="27"/>
      <c r="U22" s="27"/>
      <c r="V22" s="27"/>
      <c r="W22" s="27"/>
      <c r="X22" s="27"/>
      <c r="Y22" s="27"/>
      <c r="Z22" s="27"/>
    </row>
    <row r="23" ht="18.75" customHeight="1">
      <c r="A23" s="27"/>
      <c r="B23" s="66"/>
      <c r="C23" s="68" t="s">
        <v>319</v>
      </c>
      <c r="D23" s="69"/>
      <c r="E23" s="69"/>
      <c r="F23" s="69"/>
      <c r="G23" s="69"/>
      <c r="H23" s="69"/>
      <c r="I23" s="27"/>
      <c r="J23" s="32"/>
      <c r="K23" s="33"/>
      <c r="L23" s="35"/>
      <c r="M23" s="37"/>
      <c r="N23" s="70"/>
      <c r="O23" s="69"/>
      <c r="P23" s="69"/>
      <c r="Q23" s="71"/>
      <c r="R23" s="27"/>
      <c r="S23" s="27"/>
      <c r="T23" s="27"/>
      <c r="U23" s="27"/>
      <c r="V23" s="27"/>
      <c r="W23" s="27"/>
      <c r="X23" s="27"/>
      <c r="Y23" s="27"/>
      <c r="Z23" s="27"/>
    </row>
    <row r="24" ht="18.75" customHeight="1">
      <c r="A24" s="27"/>
      <c r="B24" s="66"/>
      <c r="C24" s="68" t="s">
        <v>320</v>
      </c>
      <c r="D24" s="69"/>
      <c r="E24" s="69"/>
      <c r="F24" s="69"/>
      <c r="G24" s="69"/>
      <c r="H24" s="69"/>
      <c r="I24" s="27"/>
      <c r="J24" s="32"/>
      <c r="K24" s="33"/>
      <c r="L24" s="66"/>
      <c r="M24" s="67"/>
      <c r="N24" s="70"/>
      <c r="O24" s="69"/>
      <c r="P24" s="69"/>
      <c r="Q24" s="71"/>
      <c r="R24" s="27"/>
      <c r="S24" s="27"/>
      <c r="T24" s="27"/>
      <c r="U24" s="27"/>
      <c r="V24" s="27"/>
      <c r="W24" s="27"/>
      <c r="X24" s="27"/>
      <c r="Y24" s="27"/>
      <c r="Z24" s="27"/>
    </row>
    <row r="25" ht="18.75" customHeight="1">
      <c r="A25" s="27"/>
      <c r="B25" s="66"/>
      <c r="C25" s="68" t="s">
        <v>321</v>
      </c>
      <c r="D25" s="69"/>
      <c r="E25" s="69"/>
      <c r="F25" s="69"/>
      <c r="G25" s="69"/>
      <c r="H25" s="69"/>
      <c r="I25" s="27"/>
      <c r="J25" s="35"/>
      <c r="K25" s="37"/>
      <c r="L25" s="28" t="s">
        <v>322</v>
      </c>
      <c r="M25" s="30"/>
      <c r="N25" s="70"/>
      <c r="O25" s="69"/>
      <c r="P25" s="69"/>
      <c r="Q25" s="71"/>
      <c r="R25" s="27"/>
      <c r="S25" s="27"/>
      <c r="T25" s="27"/>
      <c r="U25" s="27"/>
      <c r="V25" s="27"/>
      <c r="W25" s="27"/>
      <c r="X25" s="27"/>
      <c r="Y25" s="27"/>
      <c r="Z25" s="27"/>
    </row>
    <row r="26" ht="18.75" customHeight="1">
      <c r="A26" s="27"/>
      <c r="B26" s="45"/>
      <c r="C26" s="50"/>
      <c r="D26" s="50"/>
      <c r="E26" s="50"/>
      <c r="F26" s="50"/>
      <c r="G26" s="50"/>
      <c r="H26" s="50"/>
      <c r="I26" s="50"/>
      <c r="J26" s="50"/>
      <c r="K26" s="61"/>
      <c r="L26" s="35"/>
      <c r="M26" s="37"/>
      <c r="N26" s="45"/>
      <c r="O26" s="50"/>
      <c r="P26" s="50"/>
      <c r="Q26" s="61"/>
      <c r="R26" s="27"/>
      <c r="S26" s="27"/>
      <c r="T26" s="27"/>
      <c r="U26" s="27"/>
      <c r="V26" s="27"/>
      <c r="W26" s="27"/>
      <c r="X26" s="27"/>
      <c r="Y26" s="27"/>
      <c r="Z26" s="27"/>
    </row>
    <row r="27" ht="18.75" customHeight="1">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ht="18.75" customHeight="1">
      <c r="A28" s="27"/>
      <c r="B28" s="63" t="s">
        <v>323</v>
      </c>
      <c r="C28" s="64"/>
      <c r="D28" s="64"/>
      <c r="E28" s="64"/>
      <c r="F28" s="64"/>
      <c r="G28" s="64"/>
      <c r="H28" s="72"/>
      <c r="I28" s="63" t="s">
        <v>304</v>
      </c>
      <c r="J28" s="64"/>
      <c r="K28" s="64"/>
      <c r="L28" s="72"/>
      <c r="M28" s="63" t="s">
        <v>231</v>
      </c>
      <c r="N28" s="64"/>
      <c r="O28" s="64"/>
      <c r="P28" s="64"/>
      <c r="Q28" s="72"/>
      <c r="R28" s="27"/>
      <c r="S28" s="27"/>
      <c r="T28" s="27"/>
      <c r="U28" s="27"/>
      <c r="V28" s="27"/>
      <c r="W28" s="27"/>
      <c r="X28" s="27"/>
      <c r="Y28" s="27"/>
      <c r="Z28" s="27"/>
    </row>
    <row r="29" ht="18.75" customHeight="1">
      <c r="A29" s="27"/>
      <c r="B29" s="73"/>
      <c r="C29" s="34"/>
      <c r="D29" s="34"/>
      <c r="E29" s="34" t="s">
        <v>303</v>
      </c>
      <c r="F29" s="34" t="s">
        <v>324</v>
      </c>
      <c r="G29" s="34"/>
      <c r="H29" s="74"/>
      <c r="I29" s="73"/>
      <c r="J29" s="34"/>
      <c r="K29" s="34"/>
      <c r="L29" s="74"/>
      <c r="M29" s="73"/>
      <c r="N29" s="34"/>
      <c r="O29" s="34"/>
      <c r="P29" s="34"/>
      <c r="Q29" s="74"/>
      <c r="R29" s="27"/>
      <c r="S29" s="27"/>
      <c r="T29" s="27"/>
      <c r="U29" s="27"/>
      <c r="V29" s="27"/>
      <c r="W29" s="27"/>
      <c r="X29" s="27"/>
      <c r="Y29" s="27"/>
      <c r="Z29" s="27"/>
    </row>
    <row r="30" ht="18.75" customHeight="1">
      <c r="A30" s="27"/>
      <c r="B30" s="73" t="s">
        <v>281</v>
      </c>
      <c r="C30" s="34"/>
      <c r="D30" s="34"/>
      <c r="E30" s="34" t="s">
        <v>311</v>
      </c>
      <c r="F30" s="34" t="s">
        <v>325</v>
      </c>
      <c r="G30" s="34" t="s">
        <v>306</v>
      </c>
      <c r="H30" s="74" t="s">
        <v>307</v>
      </c>
      <c r="I30" s="73" t="s">
        <v>281</v>
      </c>
      <c r="J30" s="34"/>
      <c r="K30" s="34"/>
      <c r="L30" s="74" t="s">
        <v>311</v>
      </c>
      <c r="M30" s="73" t="s">
        <v>281</v>
      </c>
      <c r="N30" s="34"/>
      <c r="O30" s="34" t="s">
        <v>54</v>
      </c>
      <c r="P30" s="34" t="s">
        <v>55</v>
      </c>
      <c r="Q30" s="74" t="s">
        <v>56</v>
      </c>
      <c r="R30" s="27"/>
      <c r="S30" s="27"/>
      <c r="T30" s="27"/>
      <c r="U30" s="27"/>
      <c r="V30" s="27"/>
      <c r="W30" s="27"/>
      <c r="X30" s="27"/>
      <c r="Y30" s="27"/>
      <c r="Z30" s="27"/>
    </row>
    <row r="31" ht="18.75" customHeight="1">
      <c r="A31" s="27"/>
      <c r="B31" s="70"/>
      <c r="C31" s="69"/>
      <c r="D31" s="69"/>
      <c r="E31" s="69"/>
      <c r="F31" s="69"/>
      <c r="G31" s="69"/>
      <c r="H31" s="71"/>
      <c r="I31" s="70"/>
      <c r="J31" s="69"/>
      <c r="K31" s="69"/>
      <c r="L31" s="71"/>
      <c r="M31" s="70"/>
      <c r="N31" s="69"/>
      <c r="O31" s="69"/>
      <c r="P31" s="69"/>
      <c r="Q31" s="71"/>
      <c r="R31" s="27"/>
      <c r="S31" s="27"/>
      <c r="T31" s="27"/>
      <c r="U31" s="27"/>
      <c r="V31" s="27"/>
      <c r="W31" s="27"/>
      <c r="X31" s="27"/>
      <c r="Y31" s="27"/>
      <c r="Z31" s="27"/>
    </row>
    <row r="32" ht="18.75" customHeight="1">
      <c r="A32" s="27"/>
      <c r="B32" s="70"/>
      <c r="C32" s="69"/>
      <c r="D32" s="69"/>
      <c r="E32" s="69"/>
      <c r="F32" s="69"/>
      <c r="G32" s="69"/>
      <c r="H32" s="71"/>
      <c r="I32" s="70"/>
      <c r="J32" s="69"/>
      <c r="K32" s="69"/>
      <c r="L32" s="71"/>
      <c r="M32" s="70"/>
      <c r="N32" s="69"/>
      <c r="O32" s="69"/>
      <c r="P32" s="69"/>
      <c r="Q32" s="71"/>
      <c r="R32" s="27"/>
      <c r="S32" s="27"/>
      <c r="T32" s="27"/>
      <c r="U32" s="27"/>
      <c r="V32" s="27"/>
      <c r="W32" s="27"/>
      <c r="X32" s="27"/>
      <c r="Y32" s="27"/>
      <c r="Z32" s="27"/>
    </row>
    <row r="33" ht="18.75" customHeight="1">
      <c r="A33" s="27"/>
      <c r="B33" s="70"/>
      <c r="C33" s="69"/>
      <c r="D33" s="69"/>
      <c r="E33" s="69"/>
      <c r="F33" s="69"/>
      <c r="G33" s="69"/>
      <c r="H33" s="71"/>
      <c r="I33" s="70"/>
      <c r="J33" s="69"/>
      <c r="K33" s="69"/>
      <c r="L33" s="71"/>
      <c r="M33" s="70"/>
      <c r="N33" s="69"/>
      <c r="O33" s="69"/>
      <c r="P33" s="69"/>
      <c r="Q33" s="71"/>
      <c r="R33" s="27"/>
      <c r="S33" s="27"/>
      <c r="T33" s="27"/>
      <c r="U33" s="27"/>
      <c r="V33" s="27"/>
      <c r="W33" s="27"/>
      <c r="X33" s="27"/>
      <c r="Y33" s="27"/>
      <c r="Z33" s="27"/>
    </row>
    <row r="34" ht="18.75" customHeight="1">
      <c r="A34" s="27"/>
      <c r="B34" s="70"/>
      <c r="C34" s="69"/>
      <c r="D34" s="69"/>
      <c r="E34" s="69"/>
      <c r="F34" s="69"/>
      <c r="G34" s="69"/>
      <c r="H34" s="71"/>
      <c r="I34" s="70"/>
      <c r="J34" s="69"/>
      <c r="K34" s="69"/>
      <c r="L34" s="71"/>
      <c r="M34" s="70"/>
      <c r="N34" s="69"/>
      <c r="O34" s="69"/>
      <c r="P34" s="69"/>
      <c r="Q34" s="71"/>
      <c r="R34" s="27"/>
      <c r="S34" s="27"/>
      <c r="T34" s="27"/>
      <c r="U34" s="27"/>
      <c r="V34" s="27"/>
      <c r="W34" s="27"/>
      <c r="X34" s="27"/>
      <c r="Y34" s="27"/>
      <c r="Z34" s="27"/>
    </row>
    <row r="35" ht="18.75" customHeight="1">
      <c r="A35" s="27"/>
      <c r="B35" s="70"/>
      <c r="C35" s="69"/>
      <c r="D35" s="69"/>
      <c r="E35" s="69"/>
      <c r="F35" s="69"/>
      <c r="G35" s="69"/>
      <c r="H35" s="71"/>
      <c r="I35" s="70"/>
      <c r="J35" s="69"/>
      <c r="K35" s="69"/>
      <c r="L35" s="71"/>
      <c r="M35" s="70"/>
      <c r="N35" s="69"/>
      <c r="O35" s="69"/>
      <c r="P35" s="69"/>
      <c r="Q35" s="71"/>
      <c r="R35" s="27"/>
      <c r="S35" s="27"/>
      <c r="T35" s="27"/>
      <c r="U35" s="27"/>
      <c r="V35" s="27"/>
      <c r="W35" s="27"/>
      <c r="X35" s="27"/>
      <c r="Y35" s="27"/>
      <c r="Z35" s="27"/>
    </row>
    <row r="36" ht="18.75" customHeight="1">
      <c r="A36" s="27"/>
      <c r="B36" s="70"/>
      <c r="C36" s="69"/>
      <c r="D36" s="69"/>
      <c r="E36" s="69"/>
      <c r="F36" s="69"/>
      <c r="G36" s="69"/>
      <c r="H36" s="71"/>
      <c r="I36" s="70"/>
      <c r="J36" s="69"/>
      <c r="K36" s="69"/>
      <c r="L36" s="71"/>
      <c r="M36" s="70"/>
      <c r="N36" s="69"/>
      <c r="O36" s="69"/>
      <c r="P36" s="69"/>
      <c r="Q36" s="71"/>
      <c r="R36" s="27"/>
      <c r="S36" s="27"/>
      <c r="T36" s="27"/>
      <c r="U36" s="27"/>
      <c r="V36" s="27"/>
      <c r="W36" s="27"/>
      <c r="X36" s="27"/>
      <c r="Y36" s="27"/>
      <c r="Z36" s="27"/>
    </row>
    <row r="37" ht="18.75" customHeight="1">
      <c r="A37" s="27"/>
      <c r="B37" s="70"/>
      <c r="C37" s="69"/>
      <c r="D37" s="69"/>
      <c r="E37" s="69"/>
      <c r="F37" s="69"/>
      <c r="G37" s="69"/>
      <c r="H37" s="71"/>
      <c r="I37" s="70"/>
      <c r="J37" s="69"/>
      <c r="K37" s="69"/>
      <c r="L37" s="71"/>
      <c r="M37" s="70"/>
      <c r="N37" s="69"/>
      <c r="O37" s="69"/>
      <c r="P37" s="69"/>
      <c r="Q37" s="71"/>
      <c r="R37" s="27"/>
      <c r="S37" s="27"/>
      <c r="T37" s="27"/>
      <c r="U37" s="27"/>
      <c r="V37" s="27"/>
      <c r="W37" s="27"/>
      <c r="X37" s="27"/>
      <c r="Y37" s="27"/>
      <c r="Z37" s="27"/>
    </row>
    <row r="38" ht="18.75" customHeight="1">
      <c r="A38" s="27"/>
      <c r="B38" s="70"/>
      <c r="C38" s="69"/>
      <c r="D38" s="69"/>
      <c r="E38" s="69"/>
      <c r="F38" s="69"/>
      <c r="G38" s="69"/>
      <c r="H38" s="71"/>
      <c r="I38" s="70"/>
      <c r="J38" s="69"/>
      <c r="K38" s="69"/>
      <c r="L38" s="71"/>
      <c r="M38" s="70"/>
      <c r="N38" s="69"/>
      <c r="O38" s="69"/>
      <c r="P38" s="69"/>
      <c r="Q38" s="71"/>
      <c r="R38" s="27"/>
      <c r="S38" s="27"/>
      <c r="T38" s="27"/>
      <c r="U38" s="27"/>
      <c r="V38" s="27"/>
      <c r="W38" s="27"/>
      <c r="X38" s="27"/>
      <c r="Y38" s="27"/>
      <c r="Z38" s="27"/>
    </row>
    <row r="39" ht="18.75" customHeight="1">
      <c r="A39" s="27"/>
      <c r="B39" s="70"/>
      <c r="C39" s="69"/>
      <c r="D39" s="69"/>
      <c r="E39" s="69"/>
      <c r="F39" s="69"/>
      <c r="G39" s="69"/>
      <c r="H39" s="71"/>
      <c r="I39" s="70"/>
      <c r="J39" s="69"/>
      <c r="K39" s="69"/>
      <c r="L39" s="71"/>
      <c r="M39" s="70"/>
      <c r="N39" s="69"/>
      <c r="O39" s="69"/>
      <c r="P39" s="69"/>
      <c r="Q39" s="71"/>
      <c r="R39" s="27"/>
      <c r="S39" s="27"/>
      <c r="T39" s="27"/>
      <c r="U39" s="27"/>
      <c r="V39" s="27"/>
      <c r="W39" s="27"/>
      <c r="X39" s="27"/>
      <c r="Y39" s="27"/>
      <c r="Z39" s="27"/>
    </row>
    <row r="40" ht="18.75" customHeight="1">
      <c r="A40" s="27"/>
      <c r="B40" s="70"/>
      <c r="C40" s="69"/>
      <c r="D40" s="69"/>
      <c r="E40" s="69"/>
      <c r="F40" s="69"/>
      <c r="G40" s="69"/>
      <c r="H40" s="71"/>
      <c r="I40" s="70"/>
      <c r="J40" s="69"/>
      <c r="K40" s="69"/>
      <c r="L40" s="71"/>
      <c r="M40" s="70"/>
      <c r="N40" s="69"/>
      <c r="O40" s="69"/>
      <c r="P40" s="69"/>
      <c r="Q40" s="71"/>
      <c r="R40" s="27"/>
      <c r="S40" s="27"/>
      <c r="T40" s="27"/>
      <c r="U40" s="27"/>
      <c r="V40" s="27"/>
      <c r="W40" s="27"/>
      <c r="X40" s="27"/>
      <c r="Y40" s="27"/>
      <c r="Z40" s="27"/>
    </row>
    <row r="41" ht="18.75" customHeight="1">
      <c r="A41" s="27"/>
      <c r="B41" s="70"/>
      <c r="C41" s="69"/>
      <c r="D41" s="69"/>
      <c r="E41" s="69"/>
      <c r="F41" s="69"/>
      <c r="G41" s="69"/>
      <c r="H41" s="71"/>
      <c r="I41" s="70"/>
      <c r="J41" s="69"/>
      <c r="K41" s="69"/>
      <c r="L41" s="71"/>
      <c r="M41" s="70"/>
      <c r="N41" s="69"/>
      <c r="O41" s="69"/>
      <c r="P41" s="69"/>
      <c r="Q41" s="71"/>
      <c r="R41" s="27"/>
      <c r="S41" s="27"/>
      <c r="T41" s="27"/>
      <c r="U41" s="27"/>
      <c r="V41" s="27"/>
      <c r="W41" s="27"/>
      <c r="X41" s="27"/>
      <c r="Y41" s="27"/>
      <c r="Z41" s="27"/>
    </row>
    <row r="42" ht="18.75" customHeight="1">
      <c r="A42" s="27"/>
      <c r="B42" s="70"/>
      <c r="C42" s="69"/>
      <c r="D42" s="69"/>
      <c r="E42" s="69"/>
      <c r="F42" s="69"/>
      <c r="G42" s="69"/>
      <c r="H42" s="71"/>
      <c r="I42" s="70"/>
      <c r="J42" s="69"/>
      <c r="K42" s="69"/>
      <c r="L42" s="71"/>
      <c r="M42" s="70"/>
      <c r="N42" s="69"/>
      <c r="O42" s="69"/>
      <c r="P42" s="69"/>
      <c r="Q42" s="71"/>
      <c r="R42" s="27"/>
      <c r="S42" s="27"/>
      <c r="T42" s="27"/>
      <c r="U42" s="27"/>
      <c r="V42" s="27"/>
      <c r="W42" s="27"/>
      <c r="X42" s="27"/>
      <c r="Y42" s="27"/>
      <c r="Z42" s="27"/>
    </row>
    <row r="43" ht="18.75" customHeight="1">
      <c r="A43" s="27"/>
      <c r="B43" s="70"/>
      <c r="C43" s="69"/>
      <c r="D43" s="69"/>
      <c r="E43" s="69"/>
      <c r="F43" s="69"/>
      <c r="G43" s="69"/>
      <c r="H43" s="71"/>
      <c r="I43" s="70"/>
      <c r="J43" s="69"/>
      <c r="K43" s="69"/>
      <c r="L43" s="71"/>
      <c r="M43" s="70"/>
      <c r="N43" s="69"/>
      <c r="O43" s="69"/>
      <c r="P43" s="69"/>
      <c r="Q43" s="71"/>
      <c r="R43" s="27"/>
      <c r="S43" s="27"/>
      <c r="T43" s="27"/>
      <c r="U43" s="27"/>
      <c r="V43" s="27"/>
      <c r="W43" s="27"/>
      <c r="X43" s="27"/>
      <c r="Y43" s="27"/>
      <c r="Z43" s="27"/>
    </row>
    <row r="44" ht="18.75" customHeight="1">
      <c r="A44" s="27"/>
      <c r="B44" s="70"/>
      <c r="C44" s="69"/>
      <c r="D44" s="69"/>
      <c r="E44" s="69"/>
      <c r="F44" s="69"/>
      <c r="G44" s="69"/>
      <c r="H44" s="71"/>
      <c r="I44" s="70"/>
      <c r="J44" s="69"/>
      <c r="K44" s="69"/>
      <c r="L44" s="71"/>
      <c r="M44" s="70"/>
      <c r="N44" s="69"/>
      <c r="O44" s="69"/>
      <c r="P44" s="69"/>
      <c r="Q44" s="71"/>
      <c r="R44" s="27"/>
      <c r="S44" s="27"/>
      <c r="T44" s="27"/>
      <c r="U44" s="27"/>
      <c r="V44" s="27"/>
      <c r="W44" s="27"/>
      <c r="X44" s="27"/>
      <c r="Y44" s="27"/>
      <c r="Z44" s="27"/>
    </row>
    <row r="45" ht="18.75" customHeight="1">
      <c r="A45" s="27"/>
      <c r="B45" s="70"/>
      <c r="C45" s="69"/>
      <c r="D45" s="69"/>
      <c r="E45" s="69"/>
      <c r="F45" s="69"/>
      <c r="G45" s="69"/>
      <c r="H45" s="71"/>
      <c r="I45" s="45"/>
      <c r="J45" s="50"/>
      <c r="K45" s="50"/>
      <c r="L45" s="61"/>
      <c r="M45" s="75" t="s">
        <v>307</v>
      </c>
      <c r="N45" s="50"/>
      <c r="O45" s="50">
        <f t="shared" ref="O45:Q45" si="1">SUM(O31:O44)</f>
        <v>0</v>
      </c>
      <c r="P45" s="50">
        <f t="shared" si="1"/>
        <v>0</v>
      </c>
      <c r="Q45" s="61">
        <f t="shared" si="1"/>
        <v>0</v>
      </c>
      <c r="R45" s="27"/>
      <c r="S45" s="27"/>
      <c r="T45" s="27"/>
      <c r="U45" s="27"/>
      <c r="V45" s="27"/>
      <c r="W45" s="27"/>
      <c r="X45" s="27"/>
      <c r="Y45" s="27"/>
      <c r="Z45" s="27"/>
    </row>
    <row r="46" ht="18.75" customHeight="1">
      <c r="A46" s="27"/>
      <c r="B46" s="70"/>
      <c r="C46" s="69"/>
      <c r="D46" s="69"/>
      <c r="E46" s="69"/>
      <c r="F46" s="69"/>
      <c r="G46" s="69"/>
      <c r="H46" s="71"/>
      <c r="I46" s="27"/>
      <c r="J46" s="27"/>
      <c r="K46" s="27"/>
      <c r="L46" s="27"/>
      <c r="M46" s="27"/>
      <c r="N46" s="27"/>
      <c r="O46" s="27"/>
      <c r="P46" s="27"/>
      <c r="Q46" s="27"/>
      <c r="R46" s="27"/>
      <c r="S46" s="27"/>
      <c r="T46" s="27"/>
      <c r="U46" s="27"/>
      <c r="V46" s="27"/>
      <c r="W46" s="27"/>
      <c r="X46" s="27"/>
      <c r="Y46" s="27"/>
      <c r="Z46" s="27"/>
    </row>
    <row r="47" ht="18.75" customHeight="1">
      <c r="A47" s="27"/>
      <c r="B47" s="70"/>
      <c r="C47" s="69"/>
      <c r="D47" s="69"/>
      <c r="E47" s="69"/>
      <c r="F47" s="69"/>
      <c r="G47" s="69"/>
      <c r="H47" s="71"/>
      <c r="I47" s="27"/>
      <c r="J47" s="27"/>
      <c r="K47" s="27"/>
      <c r="L47" s="27"/>
      <c r="M47" s="27"/>
      <c r="N47" s="27"/>
      <c r="O47" s="27"/>
      <c r="P47" s="27"/>
      <c r="Q47" s="27"/>
      <c r="R47" s="27"/>
      <c r="S47" s="27"/>
      <c r="T47" s="27"/>
      <c r="U47" s="27"/>
      <c r="V47" s="27"/>
      <c r="W47" s="27"/>
      <c r="X47" s="27"/>
      <c r="Y47" s="27"/>
      <c r="Z47" s="27"/>
    </row>
    <row r="48" ht="18.75" customHeight="1">
      <c r="A48" s="27"/>
      <c r="B48" s="70"/>
      <c r="C48" s="69"/>
      <c r="D48" s="69"/>
      <c r="E48" s="69"/>
      <c r="F48" s="69"/>
      <c r="G48" s="69"/>
      <c r="H48" s="71"/>
      <c r="I48" s="27"/>
      <c r="J48" s="27"/>
      <c r="K48" s="27"/>
      <c r="L48" s="27"/>
      <c r="M48" s="27"/>
      <c r="N48" s="27"/>
      <c r="O48" s="27"/>
      <c r="P48" s="27"/>
      <c r="Q48" s="27"/>
      <c r="R48" s="27"/>
      <c r="S48" s="27"/>
      <c r="T48" s="27"/>
      <c r="U48" s="27"/>
      <c r="V48" s="27"/>
      <c r="W48" s="27"/>
      <c r="X48" s="27"/>
      <c r="Y48" s="27"/>
      <c r="Z48" s="27"/>
    </row>
    <row r="49" ht="18.75" customHeight="1">
      <c r="A49" s="27"/>
      <c r="B49" s="70"/>
      <c r="C49" s="69"/>
      <c r="D49" s="69"/>
      <c r="E49" s="69"/>
      <c r="F49" s="69"/>
      <c r="G49" s="69"/>
      <c r="H49" s="71"/>
      <c r="I49" s="27"/>
      <c r="J49" s="27"/>
      <c r="K49" s="27"/>
      <c r="L49" s="27"/>
      <c r="M49" s="27"/>
      <c r="N49" s="27"/>
      <c r="O49" s="27"/>
      <c r="P49" s="27"/>
      <c r="Q49" s="27"/>
      <c r="R49" s="27"/>
      <c r="S49" s="27"/>
      <c r="T49" s="27"/>
      <c r="U49" s="27"/>
      <c r="V49" s="27"/>
      <c r="W49" s="27"/>
      <c r="X49" s="27"/>
      <c r="Y49" s="27"/>
      <c r="Z49" s="27"/>
    </row>
    <row r="50" ht="18.75" customHeight="1">
      <c r="A50" s="27"/>
      <c r="B50" s="70"/>
      <c r="C50" s="69"/>
      <c r="D50" s="69"/>
      <c r="E50" s="69"/>
      <c r="F50" s="69"/>
      <c r="G50" s="69"/>
      <c r="H50" s="71"/>
      <c r="I50" s="27"/>
      <c r="J50" s="27"/>
      <c r="K50" s="27"/>
      <c r="L50" s="27"/>
      <c r="M50" s="27"/>
      <c r="N50" s="27"/>
      <c r="O50" s="27"/>
      <c r="P50" s="27"/>
      <c r="Q50" s="27"/>
      <c r="R50" s="27"/>
      <c r="S50" s="27"/>
      <c r="T50" s="27"/>
      <c r="U50" s="27"/>
      <c r="V50" s="27"/>
      <c r="W50" s="27"/>
      <c r="X50" s="27"/>
      <c r="Y50" s="27"/>
      <c r="Z50" s="27"/>
    </row>
    <row r="51" ht="18.75" customHeight="1">
      <c r="A51" s="27"/>
      <c r="B51" s="70"/>
      <c r="C51" s="69"/>
      <c r="D51" s="69"/>
      <c r="E51" s="69"/>
      <c r="F51" s="69"/>
      <c r="G51" s="69"/>
      <c r="H51" s="71"/>
      <c r="I51" s="27"/>
      <c r="J51" s="27"/>
      <c r="K51" s="27"/>
      <c r="L51" s="27"/>
      <c r="M51" s="27"/>
      <c r="N51" s="27"/>
      <c r="O51" s="27"/>
      <c r="P51" s="27"/>
      <c r="Q51" s="27"/>
      <c r="R51" s="27"/>
      <c r="S51" s="27"/>
      <c r="T51" s="27"/>
      <c r="U51" s="27"/>
      <c r="V51" s="27"/>
      <c r="W51" s="27"/>
      <c r="X51" s="27"/>
      <c r="Y51" s="27"/>
      <c r="Z51" s="27"/>
    </row>
    <row r="52" ht="18.75" customHeight="1">
      <c r="A52" s="27"/>
      <c r="B52" s="45"/>
      <c r="C52" s="50"/>
      <c r="D52" s="50"/>
      <c r="E52" s="50"/>
      <c r="F52" s="50"/>
      <c r="G52" s="50"/>
      <c r="H52" s="61"/>
      <c r="I52" s="27"/>
      <c r="J52" s="27"/>
      <c r="K52" s="27"/>
      <c r="L52" s="27"/>
      <c r="M52" s="27"/>
      <c r="N52" s="27"/>
      <c r="O52" s="27"/>
      <c r="P52" s="27"/>
      <c r="Q52" s="27"/>
      <c r="R52" s="27"/>
      <c r="S52" s="27"/>
      <c r="T52" s="27"/>
      <c r="U52" s="27"/>
      <c r="V52" s="27"/>
      <c r="W52" s="27"/>
      <c r="X52" s="27"/>
      <c r="Y52" s="27"/>
      <c r="Z52" s="27"/>
    </row>
    <row r="53" ht="18.75" customHeight="1">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ht="18.75" customHeight="1">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ht="18.75" customHeight="1">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ht="18.75" customHeight="1">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ht="18.75" customHeight="1">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ht="18.75" customHeight="1">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ht="18.75" customHeight="1">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ht="18.75" customHeight="1">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ht="18.75" customHeight="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ht="18.75" customHeight="1">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ht="18.75"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8.75"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ht="18.75" customHeight="1">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ht="18.75"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ht="18.75" customHeight="1">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ht="18.75" customHeight="1">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ht="18.75"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ht="18.75"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ht="18.75" customHeight="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ht="18.75" customHeight="1">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ht="18.75"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ht="18.75"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ht="18.75" customHeight="1">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ht="18.75" customHeight="1">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ht="18.75" customHeight="1">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ht="18.75" customHeight="1">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ht="18.75" customHeight="1">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ht="18.75" customHeight="1">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ht="18.75" customHeight="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ht="18.75" customHeight="1">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ht="18.75"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ht="18.75" customHeight="1">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ht="18.75" customHeight="1">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ht="18.75"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ht="18.75"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ht="18.75"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ht="18.7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ht="18.75"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ht="18.75"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ht="18.75" customHeight="1">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ht="18.75"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ht="18.75"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ht="18.75"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ht="18.75"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ht="18.75"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8.75"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8.75"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8.7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8.7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8.7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8.7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8.7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8.7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8.7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8.7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8.7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8.7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8.7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8.7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8.7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8.7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8.7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8.7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8.7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8.7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8.7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8.7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8.7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8.7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8.7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8.7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8.7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8.7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8.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8.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8.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8.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8.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8.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8.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8.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8.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8.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8.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8.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8.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8.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8.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8.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8.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8.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8.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8.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8.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8.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8.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8.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8.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8.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8.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8.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8.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8.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8.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8.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8.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8.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8.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8.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8.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8.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8.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8.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8.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8.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8.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8.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8.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8.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8.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8.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8.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8.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8.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8.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8.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8.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8.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8.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8.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8.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8.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8.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8.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8.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8.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8.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8.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8.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8.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8.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8.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8.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8.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8.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8.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8.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8.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8.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8.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8.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8.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8.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8.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8.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8.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8.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8.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8.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8.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8.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8.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8.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8.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8.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8.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8.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8.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8.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8.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8.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8.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8.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8.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8.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8.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8.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8.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8.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8.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8.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8.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8.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8.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8.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8.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8.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8.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8.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8.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8.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8.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8.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8.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8.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8.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8.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8.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8.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8.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8.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8.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8.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8.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8.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8.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8.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8.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8.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8.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8.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8.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8.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8.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8.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8.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8.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8.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8.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8.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8.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8.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8.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8.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8.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8.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8.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8.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8.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8.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8.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8.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8.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8.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8.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8.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8.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8.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8.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8.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8.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8.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8.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8.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8.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8.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8.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8.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8.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8.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8.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8.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8.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8.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8.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8.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8.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8.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8.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8.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8.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8.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8.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8.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8.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8.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8.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8.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8.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8.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8.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8.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8.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8.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8.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8.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8.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8.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8.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8.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8.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8.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8.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8.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8.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8.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8.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8.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8.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8.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8.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8.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8.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8.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8.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8.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8.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8.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8.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8.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8.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8.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8.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8.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8.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8.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8.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8.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8.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8.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8.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8.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8.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8.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8.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8.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8.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8.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8.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8.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8.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8.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8.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8.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8.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8.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8.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8.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8.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8.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8.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8.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8.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8.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8.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8.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8.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8.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8.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8.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8.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8.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8.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8.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8.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8.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8.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8.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8.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8.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8.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8.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8.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8.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8.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8.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8.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8.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8.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8.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8.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8.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8.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8.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8.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8.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8.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8.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8.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8.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8.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8.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8.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8.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8.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8.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8.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8.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8.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8.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8.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8.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8.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8.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8.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8.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8.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8.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8.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8.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8.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8.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8.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8.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8.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8.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8.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8.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8.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8.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8.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8.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8.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8.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8.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8.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8.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8.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8.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8.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8.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8.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8.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8.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8.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8.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8.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8.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8.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8.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8.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8.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8.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8.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8.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8.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8.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8.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8.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8.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8.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8.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8.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8.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8.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8.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8.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8.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8.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8.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8.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8.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8.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8.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8.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8.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8.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8.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8.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8.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8.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8.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8.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8.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8.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8.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8.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8.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8.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8.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8.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8.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8.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8.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8.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8.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8.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8.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8.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8.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8.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8.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8.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8.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8.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8.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8.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8.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8.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8.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8.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8.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8.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8.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8.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8.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8.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8.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8.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8.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8.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8.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8.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8.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8.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8.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8.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8.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8.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8.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8.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8.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8.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8.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8.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8.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8.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8.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8.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8.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8.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8.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8.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8.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8.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8.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8.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8.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8.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8.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8.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8.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8.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8.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8.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8.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8.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8.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8.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8.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8.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8.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8.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8.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8.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8.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8.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8.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8.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8.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8.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8.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8.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8.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8.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8.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8.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8.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8.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8.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8.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8.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8.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8.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8.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8.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8.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8.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8.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8.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8.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8.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8.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8.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8.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8.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8.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8.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8.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8.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8.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8.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8.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8.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8.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8.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8.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8.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8.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8.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8.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8.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8.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8.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8.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8.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8.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8.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8.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8.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8.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8.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8.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8.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8.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8.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8.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8.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8.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8.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8.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8.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8.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8.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8.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8.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8.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8.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8.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8.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8.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8.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8.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8.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8.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8.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8.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8.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8.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8.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8.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8.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8.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8.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8.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8.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8.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8.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8.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8.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8.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8.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8.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8.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8.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8.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8.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8.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8.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8.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8.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8.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8.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8.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8.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8.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8.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8.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8.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8.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8.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8.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8.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8.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8.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8.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8.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8.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8.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8.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8.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8.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8.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8.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8.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8.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8.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8.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8.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8.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8.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8.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8.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8.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8.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8.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8.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8.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8.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8.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8.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8.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8.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8.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8.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8.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8.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8.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8.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8.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8.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8.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8.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8.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8.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8.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8.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8.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8.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8.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8.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8.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8.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8.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8.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8.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8.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8.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8.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8.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8.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8.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8.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8.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8.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8.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8.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8.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8.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8.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8.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8.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8.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8.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8.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8.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8.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8.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8.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8.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8.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8.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8.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8.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8.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8.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8.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8.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8.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8.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8.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8.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8.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8.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8.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8.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8.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8.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8.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8.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8.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8.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8.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8.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8.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8.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8.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8.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8.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8.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8.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8.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8.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8.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8.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8.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8.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8.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8.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8.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8.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8.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8.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8.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8.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8.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8.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8.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8.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8.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8.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8.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8.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8.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8.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8.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8.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8.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8.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8.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8.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8.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8.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8.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8.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8.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8.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8.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8.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8.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8.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8.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8.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8.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8.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8.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8.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8.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8.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8.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8.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8.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8.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8.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8.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8.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8.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8.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8.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8.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8.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8.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8.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8.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8.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8.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8.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8.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8.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8.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8.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8.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8.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8.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8.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8.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8.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8.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8.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8.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8.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8.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8.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8.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8.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8.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8.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8.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8.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8.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8.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8.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8.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8.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8.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8.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8.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8.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8.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8.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8.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8.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8.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8.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8.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8.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8.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8.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8.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8.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8.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8.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8.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8.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8.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8.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8.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8.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8.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8.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8.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8.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8.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8.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8.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8.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8.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8.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8.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8.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8.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8.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8.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8.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8.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8.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8.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8.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8.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8.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8.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8.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8.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8.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8.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8.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8.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8.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8.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8.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8.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8.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8.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8.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8.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8.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8.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8.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8.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8.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8.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8.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8.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8.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8.7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8.7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8.7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8.7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8.7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8.7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8.7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8.7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8.7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8.7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8.7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8.7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8.7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8.7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8.7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8.7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8.7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8.7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8.7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8.7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8.7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8.7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8.7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8.7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10">
    <mergeCell ref="J17:K20"/>
    <mergeCell ref="J22:K25"/>
    <mergeCell ref="L25:M26"/>
    <mergeCell ref="B2:E4"/>
    <mergeCell ref="B6:C7"/>
    <mergeCell ref="E6:E7"/>
    <mergeCell ref="Q7:Q8"/>
    <mergeCell ref="Q10:Q11"/>
    <mergeCell ref="L17:M19"/>
    <mergeCell ref="L21:M23"/>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57"/>
    <col customWidth="1" min="2" max="2" width="6.86"/>
    <col customWidth="1" min="3" max="3" width="11.0"/>
    <col customWidth="1" min="4" max="4" width="7.0"/>
    <col customWidth="1" min="5" max="5" width="9.86"/>
    <col customWidth="1" min="6" max="7" width="10.0"/>
    <col customWidth="1" min="8" max="8" width="8.43"/>
    <col customWidth="1" min="9" max="9" width="8.29"/>
    <col customWidth="1" min="10" max="10" width="7.86"/>
    <col customWidth="1" min="11" max="21" width="8.0"/>
    <col customWidth="1" min="22" max="26" width="9.0"/>
  </cols>
  <sheetData>
    <row r="1" ht="12.75" customHeight="1">
      <c r="A1" s="76"/>
      <c r="B1" s="76"/>
      <c r="C1" s="76"/>
      <c r="D1" s="76"/>
      <c r="E1" s="76"/>
      <c r="F1" s="76"/>
      <c r="G1" s="76"/>
      <c r="H1" s="76"/>
      <c r="I1" s="76"/>
      <c r="J1" s="76"/>
      <c r="K1" s="76"/>
      <c r="L1" s="76"/>
      <c r="M1" s="76"/>
      <c r="N1" s="76"/>
      <c r="O1" s="76"/>
      <c r="P1" s="76"/>
      <c r="Q1" s="76"/>
      <c r="R1" s="76"/>
      <c r="S1" s="76"/>
      <c r="T1" s="76"/>
      <c r="U1" s="76"/>
      <c r="V1" s="76"/>
      <c r="W1" s="76"/>
      <c r="X1" s="76"/>
      <c r="Y1" s="76"/>
      <c r="Z1" s="76"/>
    </row>
    <row r="2" ht="12.75" customHeight="1">
      <c r="A2" s="76"/>
      <c r="B2" s="77" t="s">
        <v>281</v>
      </c>
      <c r="C2" s="29"/>
      <c r="D2" s="29"/>
      <c r="E2" s="77" t="s">
        <v>293</v>
      </c>
      <c r="F2" s="30"/>
      <c r="G2" s="78" t="s">
        <v>295</v>
      </c>
      <c r="H2" s="78" t="s">
        <v>294</v>
      </c>
      <c r="I2" s="79"/>
      <c r="J2" s="76"/>
      <c r="K2" s="80" t="s">
        <v>282</v>
      </c>
      <c r="M2" s="76"/>
      <c r="N2" s="76"/>
      <c r="O2" s="76"/>
      <c r="P2" s="76"/>
      <c r="Q2" s="76"/>
      <c r="R2" s="76"/>
      <c r="S2" s="76"/>
      <c r="T2" s="76"/>
      <c r="U2" s="76"/>
      <c r="V2" s="76"/>
      <c r="W2" s="76"/>
      <c r="X2" s="76"/>
      <c r="Y2" s="76"/>
      <c r="Z2" s="76"/>
    </row>
    <row r="3" ht="12.75" customHeight="1">
      <c r="A3" s="76"/>
      <c r="B3" s="32"/>
      <c r="E3" s="32"/>
      <c r="F3" s="33"/>
      <c r="G3" s="81"/>
      <c r="H3" s="81"/>
      <c r="I3" s="79"/>
      <c r="J3" s="76"/>
      <c r="K3" s="76"/>
      <c r="L3" s="82" t="s">
        <v>58</v>
      </c>
      <c r="M3" s="82"/>
      <c r="N3" s="82" t="s">
        <v>283</v>
      </c>
      <c r="O3" s="82"/>
      <c r="P3" s="82"/>
      <c r="Q3" s="82" t="s">
        <v>284</v>
      </c>
      <c r="R3" s="82"/>
      <c r="S3" s="82"/>
      <c r="T3" s="82"/>
      <c r="U3" s="82" t="s">
        <v>285</v>
      </c>
      <c r="V3" s="76"/>
      <c r="W3" s="76"/>
      <c r="X3" s="76"/>
      <c r="Y3" s="76"/>
      <c r="Z3" s="76"/>
    </row>
    <row r="4" ht="12.75" customHeight="1">
      <c r="A4" s="76"/>
      <c r="B4" s="35"/>
      <c r="C4" s="36"/>
      <c r="D4" s="36"/>
      <c r="E4" s="35"/>
      <c r="F4" s="37"/>
      <c r="G4" s="57"/>
      <c r="H4" s="57"/>
      <c r="I4" s="79"/>
      <c r="J4" s="76"/>
      <c r="K4" s="83" t="s">
        <v>286</v>
      </c>
      <c r="L4" s="84" t="s">
        <v>287</v>
      </c>
      <c r="M4" s="85"/>
      <c r="N4" s="86" t="s">
        <v>288</v>
      </c>
      <c r="O4" s="85"/>
      <c r="P4" s="85"/>
      <c r="Q4" s="84" t="s">
        <v>289</v>
      </c>
      <c r="R4" s="87"/>
      <c r="S4" s="87"/>
      <c r="T4" s="87"/>
      <c r="U4" s="87"/>
      <c r="V4" s="76"/>
      <c r="W4" s="76"/>
      <c r="X4" s="76"/>
      <c r="Y4" s="76"/>
      <c r="Z4" s="76"/>
    </row>
    <row r="5" ht="12.75" customHeight="1">
      <c r="A5" s="76"/>
      <c r="B5" s="76"/>
      <c r="C5" s="76"/>
      <c r="D5" s="76"/>
      <c r="E5" s="76"/>
      <c r="F5" s="76"/>
      <c r="G5" s="76"/>
      <c r="H5" s="76"/>
      <c r="I5" s="76"/>
      <c r="J5" s="76"/>
      <c r="K5" s="88" t="s">
        <v>5</v>
      </c>
      <c r="L5" s="89" t="s">
        <v>290</v>
      </c>
      <c r="M5" s="57"/>
      <c r="N5" s="90" t="s">
        <v>291</v>
      </c>
      <c r="O5" s="57"/>
      <c r="P5" s="57"/>
      <c r="Q5" s="89" t="s">
        <v>292</v>
      </c>
      <c r="R5" s="57"/>
      <c r="S5" s="57"/>
      <c r="T5" s="57"/>
      <c r="U5" s="57"/>
      <c r="V5" s="76"/>
      <c r="W5" s="76"/>
      <c r="X5" s="76"/>
      <c r="Y5" s="76"/>
      <c r="Z5" s="76"/>
    </row>
    <row r="6" ht="12.75" customHeight="1">
      <c r="A6" s="76"/>
      <c r="B6" s="91" t="s">
        <v>244</v>
      </c>
      <c r="C6" s="29"/>
      <c r="D6" s="30"/>
      <c r="E6" s="77" t="s">
        <v>57</v>
      </c>
      <c r="F6" s="29"/>
      <c r="G6" s="29"/>
      <c r="H6" s="30"/>
      <c r="I6" s="79"/>
      <c r="J6" s="76"/>
      <c r="K6" s="92"/>
      <c r="L6" s="93"/>
      <c r="M6" s="93"/>
      <c r="N6" s="94"/>
      <c r="O6" s="93"/>
      <c r="P6" s="93"/>
      <c r="Q6" s="93"/>
      <c r="R6" s="92"/>
      <c r="S6" s="92"/>
      <c r="T6" s="92"/>
      <c r="U6" s="92"/>
      <c r="V6" s="76"/>
      <c r="W6" s="76"/>
      <c r="X6" s="76"/>
      <c r="Y6" s="76"/>
      <c r="Z6" s="76"/>
    </row>
    <row r="7" ht="12.75" customHeight="1">
      <c r="A7" s="76"/>
      <c r="B7" s="35"/>
      <c r="C7" s="36"/>
      <c r="D7" s="37"/>
      <c r="E7" s="35"/>
      <c r="F7" s="36"/>
      <c r="G7" s="36"/>
      <c r="H7" s="37"/>
      <c r="I7" s="79"/>
      <c r="J7" s="76"/>
      <c r="K7" s="83" t="s">
        <v>296</v>
      </c>
      <c r="L7" s="85" t="s">
        <v>287</v>
      </c>
      <c r="M7" s="85"/>
      <c r="N7" s="95" t="s">
        <v>288</v>
      </c>
      <c r="O7" s="85"/>
      <c r="P7" s="85"/>
      <c r="Q7" s="85" t="s">
        <v>289</v>
      </c>
      <c r="R7" s="87"/>
      <c r="S7" s="87"/>
      <c r="T7" s="87"/>
      <c r="U7" s="85" t="s">
        <v>297</v>
      </c>
      <c r="V7" s="76"/>
      <c r="W7" s="76"/>
      <c r="X7" s="76"/>
      <c r="Y7" s="76"/>
      <c r="Z7" s="76"/>
    </row>
    <row r="8" ht="12.75" customHeight="1">
      <c r="A8" s="76"/>
      <c r="B8" s="96"/>
      <c r="C8" s="96"/>
      <c r="D8" s="96"/>
      <c r="E8" s="79"/>
      <c r="F8" s="79"/>
      <c r="G8" s="79"/>
      <c r="H8" s="79"/>
      <c r="I8" s="79"/>
      <c r="J8" s="76"/>
      <c r="K8" s="88" t="s">
        <v>5</v>
      </c>
      <c r="L8" s="97" t="s">
        <v>290</v>
      </c>
      <c r="M8" s="57"/>
      <c r="N8" s="98" t="s">
        <v>291</v>
      </c>
      <c r="O8" s="57"/>
      <c r="P8" s="57"/>
      <c r="Q8" s="97" t="s">
        <v>292</v>
      </c>
      <c r="R8" s="57"/>
      <c r="S8" s="57"/>
      <c r="T8" s="57"/>
      <c r="U8" s="57"/>
      <c r="V8" s="76"/>
      <c r="W8" s="76"/>
      <c r="X8" s="76"/>
      <c r="Y8" s="76"/>
      <c r="Z8" s="76"/>
    </row>
    <row r="9" ht="14.25" customHeight="1">
      <c r="A9" s="76"/>
      <c r="B9" s="99" t="s">
        <v>300</v>
      </c>
      <c r="C9" s="29"/>
      <c r="D9" s="100"/>
      <c r="E9" s="100"/>
      <c r="F9" s="100"/>
      <c r="G9" s="100"/>
      <c r="H9" s="101"/>
      <c r="I9" s="102"/>
      <c r="J9" s="76"/>
      <c r="K9" s="92"/>
      <c r="L9" s="93"/>
      <c r="M9" s="93"/>
      <c r="N9" s="94"/>
      <c r="O9" s="93"/>
      <c r="P9" s="93"/>
      <c r="Q9" s="93"/>
      <c r="R9" s="92"/>
      <c r="S9" s="92"/>
      <c r="T9" s="92"/>
      <c r="U9" s="92"/>
      <c r="V9" s="76"/>
      <c r="W9" s="76"/>
      <c r="X9" s="76"/>
      <c r="Y9" s="76"/>
      <c r="Z9" s="76"/>
    </row>
    <row r="10" ht="12.75" customHeight="1">
      <c r="A10" s="76"/>
      <c r="B10" s="103" t="s">
        <v>281</v>
      </c>
      <c r="D10" s="82" t="s">
        <v>303</v>
      </c>
      <c r="E10" s="82" t="s">
        <v>304</v>
      </c>
      <c r="F10" s="82" t="s">
        <v>305</v>
      </c>
      <c r="G10" s="82" t="s">
        <v>306</v>
      </c>
      <c r="H10" s="104" t="s">
        <v>307</v>
      </c>
      <c r="I10" s="82"/>
      <c r="J10" s="76"/>
      <c r="K10" s="83" t="s">
        <v>298</v>
      </c>
      <c r="L10" s="85" t="s">
        <v>287</v>
      </c>
      <c r="M10" s="85"/>
      <c r="N10" s="95" t="s">
        <v>288</v>
      </c>
      <c r="O10" s="85"/>
      <c r="P10" s="85"/>
      <c r="Q10" s="85" t="s">
        <v>289</v>
      </c>
      <c r="R10" s="87"/>
      <c r="S10" s="87"/>
      <c r="T10" s="87"/>
      <c r="U10" s="85" t="s">
        <v>297</v>
      </c>
      <c r="V10" s="76"/>
      <c r="W10" s="76"/>
      <c r="X10" s="76"/>
      <c r="Y10" s="76"/>
      <c r="Z10" s="76"/>
    </row>
    <row r="11" ht="12.75" customHeight="1">
      <c r="A11" s="76"/>
      <c r="B11" s="105" t="s">
        <v>310</v>
      </c>
      <c r="C11" s="106"/>
      <c r="D11" s="107"/>
      <c r="E11" s="107"/>
      <c r="F11" s="107"/>
      <c r="G11" s="107"/>
      <c r="H11" s="108">
        <f t="shared" ref="H11:H19" si="1">SUM(D11:G11)</f>
        <v>0</v>
      </c>
      <c r="I11" s="102"/>
      <c r="J11" s="76"/>
      <c r="K11" s="88" t="s">
        <v>5</v>
      </c>
      <c r="L11" s="97" t="s">
        <v>290</v>
      </c>
      <c r="M11" s="57"/>
      <c r="N11" s="98" t="s">
        <v>291</v>
      </c>
      <c r="O11" s="57"/>
      <c r="P11" s="57"/>
      <c r="Q11" s="97" t="s">
        <v>292</v>
      </c>
      <c r="R11" s="57"/>
      <c r="S11" s="57"/>
      <c r="T11" s="57"/>
      <c r="U11" s="57"/>
      <c r="V11" s="76"/>
      <c r="W11" s="76"/>
      <c r="X11" s="76"/>
      <c r="Y11" s="76"/>
      <c r="Z11" s="76"/>
    </row>
    <row r="12" ht="12.75" customHeight="1">
      <c r="A12" s="76"/>
      <c r="B12" s="109" t="s">
        <v>312</v>
      </c>
      <c r="C12" s="110"/>
      <c r="D12" s="107"/>
      <c r="E12" s="107"/>
      <c r="F12" s="107"/>
      <c r="G12" s="107"/>
      <c r="H12" s="108">
        <f t="shared" si="1"/>
        <v>0</v>
      </c>
      <c r="I12" s="102"/>
      <c r="J12" s="76"/>
      <c r="K12" s="76"/>
      <c r="L12" s="76"/>
      <c r="M12" s="76"/>
      <c r="N12" s="76"/>
      <c r="O12" s="76"/>
      <c r="P12" s="76"/>
      <c r="Q12" s="76"/>
      <c r="R12" s="76"/>
      <c r="S12" s="76"/>
      <c r="T12" s="76"/>
      <c r="U12" s="76"/>
      <c r="V12" s="76"/>
      <c r="W12" s="76"/>
      <c r="X12" s="76"/>
      <c r="Y12" s="76"/>
      <c r="Z12" s="76"/>
    </row>
    <row r="13" ht="12.75" customHeight="1">
      <c r="A13" s="76"/>
      <c r="B13" s="109" t="s">
        <v>314</v>
      </c>
      <c r="C13" s="110"/>
      <c r="D13" s="107"/>
      <c r="E13" s="107"/>
      <c r="F13" s="107"/>
      <c r="G13" s="107"/>
      <c r="H13" s="108">
        <f t="shared" si="1"/>
        <v>0</v>
      </c>
      <c r="I13" s="99" t="s">
        <v>318</v>
      </c>
      <c r="J13" s="29"/>
      <c r="K13" s="100"/>
      <c r="L13" s="101"/>
      <c r="M13" s="76"/>
      <c r="N13" s="76"/>
      <c r="O13" s="76"/>
      <c r="P13" s="76"/>
      <c r="Q13" s="76" t="s">
        <v>299</v>
      </c>
      <c r="R13" s="76"/>
      <c r="S13" s="76"/>
      <c r="T13" s="111"/>
      <c r="U13" s="76"/>
      <c r="V13" s="76"/>
      <c r="W13" s="76"/>
      <c r="X13" s="76"/>
      <c r="Y13" s="76"/>
      <c r="Z13" s="76"/>
    </row>
    <row r="14" ht="12.75" customHeight="1">
      <c r="A14" s="76"/>
      <c r="B14" s="109" t="s">
        <v>315</v>
      </c>
      <c r="C14" s="110"/>
      <c r="D14" s="107"/>
      <c r="E14" s="107"/>
      <c r="F14" s="107"/>
      <c r="G14" s="107"/>
      <c r="H14" s="108">
        <f t="shared" si="1"/>
        <v>0</v>
      </c>
      <c r="I14" s="112"/>
      <c r="J14" s="82" t="s">
        <v>308</v>
      </c>
      <c r="K14" s="82" t="s">
        <v>306</v>
      </c>
      <c r="L14" s="104" t="s">
        <v>307</v>
      </c>
      <c r="M14" s="76"/>
      <c r="N14" s="76"/>
      <c r="O14" s="76"/>
      <c r="P14" s="76"/>
      <c r="Q14" s="76"/>
      <c r="R14" s="76"/>
      <c r="S14" s="76"/>
      <c r="T14" s="76"/>
      <c r="U14" s="76"/>
      <c r="V14" s="76"/>
      <c r="W14" s="76"/>
      <c r="X14" s="76"/>
      <c r="Y14" s="76"/>
      <c r="Z14" s="76"/>
    </row>
    <row r="15" ht="14.25" customHeight="1">
      <c r="A15" s="76"/>
      <c r="B15" s="109" t="s">
        <v>317</v>
      </c>
      <c r="C15" s="110"/>
      <c r="D15" s="107"/>
      <c r="E15" s="107"/>
      <c r="F15" s="107"/>
      <c r="G15" s="107"/>
      <c r="H15" s="108">
        <f t="shared" si="1"/>
        <v>0</v>
      </c>
      <c r="I15" s="103" t="s">
        <v>326</v>
      </c>
      <c r="J15" s="82" t="s">
        <v>327</v>
      </c>
      <c r="K15" s="82" t="s">
        <v>327</v>
      </c>
      <c r="L15" s="104" t="s">
        <v>327</v>
      </c>
      <c r="M15" s="99" t="s">
        <v>323</v>
      </c>
      <c r="N15" s="29"/>
      <c r="O15" s="100"/>
      <c r="P15" s="100"/>
      <c r="Q15" s="100"/>
      <c r="R15" s="100"/>
      <c r="S15" s="100"/>
      <c r="T15" s="100"/>
      <c r="U15" s="113"/>
      <c r="V15" s="76"/>
      <c r="W15" s="76"/>
      <c r="X15" s="76"/>
      <c r="Y15" s="76"/>
      <c r="Z15" s="76"/>
    </row>
    <row r="16" ht="12.75" customHeight="1">
      <c r="A16" s="76"/>
      <c r="B16" s="109" t="s">
        <v>319</v>
      </c>
      <c r="C16" s="110"/>
      <c r="D16" s="107"/>
      <c r="E16" s="107"/>
      <c r="F16" s="107"/>
      <c r="G16" s="107"/>
      <c r="H16" s="108">
        <f t="shared" si="1"/>
        <v>0</v>
      </c>
      <c r="I16" s="114"/>
      <c r="J16" s="115">
        <f>H18</f>
        <v>0</v>
      </c>
      <c r="K16" s="116"/>
      <c r="L16" s="117">
        <f>SUM(J16:K16)</f>
        <v>0</v>
      </c>
      <c r="M16" s="103" t="s">
        <v>281</v>
      </c>
      <c r="N16" s="82"/>
      <c r="O16" s="82"/>
      <c r="P16" s="82"/>
      <c r="Q16" s="82" t="s">
        <v>328</v>
      </c>
      <c r="R16" s="82" t="s">
        <v>303</v>
      </c>
      <c r="S16" s="82" t="s">
        <v>324</v>
      </c>
      <c r="T16" s="82"/>
      <c r="U16" s="104"/>
      <c r="V16" s="76"/>
      <c r="W16" s="76"/>
      <c r="X16" s="76"/>
      <c r="Y16" s="76"/>
      <c r="Z16" s="76"/>
    </row>
    <row r="17" ht="12.75" customHeight="1">
      <c r="A17" s="76"/>
      <c r="B17" s="109" t="s">
        <v>320</v>
      </c>
      <c r="C17" s="110"/>
      <c r="D17" s="107"/>
      <c r="E17" s="107"/>
      <c r="F17" s="107"/>
      <c r="G17" s="107"/>
      <c r="H17" s="108">
        <f t="shared" si="1"/>
        <v>0</v>
      </c>
      <c r="I17" s="99" t="s">
        <v>301</v>
      </c>
      <c r="J17" s="29"/>
      <c r="K17" s="118"/>
      <c r="L17" s="119"/>
      <c r="M17" s="103" t="s">
        <v>329</v>
      </c>
      <c r="N17" s="82"/>
      <c r="O17" s="82" t="s">
        <v>330</v>
      </c>
      <c r="P17" s="82"/>
      <c r="Q17" s="82" t="s">
        <v>331</v>
      </c>
      <c r="R17" s="82" t="s">
        <v>311</v>
      </c>
      <c r="S17" s="82" t="s">
        <v>325</v>
      </c>
      <c r="T17" s="82" t="s">
        <v>306</v>
      </c>
      <c r="U17" s="104" t="s">
        <v>307</v>
      </c>
      <c r="V17" s="76"/>
      <c r="W17" s="76"/>
      <c r="X17" s="76"/>
      <c r="Y17" s="76"/>
      <c r="Z17" s="76"/>
    </row>
    <row r="18" ht="12.75" customHeight="1">
      <c r="A18" s="76"/>
      <c r="B18" s="109" t="s">
        <v>332</v>
      </c>
      <c r="C18" s="110"/>
      <c r="D18" s="120">
        <f>ROUNDDOWN((D15+D12)/2,)</f>
        <v>0</v>
      </c>
      <c r="E18" s="107"/>
      <c r="F18" s="107"/>
      <c r="G18" s="107"/>
      <c r="H18" s="108">
        <f t="shared" si="1"/>
        <v>0</v>
      </c>
      <c r="I18" s="103" t="s">
        <v>333</v>
      </c>
      <c r="J18" s="82" t="s">
        <v>334</v>
      </c>
      <c r="K18" s="82" t="s">
        <v>307</v>
      </c>
      <c r="L18" s="104" t="s">
        <v>335</v>
      </c>
      <c r="M18" s="103"/>
      <c r="N18" s="82"/>
      <c r="O18" s="82"/>
      <c r="P18" s="82"/>
      <c r="Q18" s="82"/>
      <c r="R18" s="121"/>
      <c r="S18" s="121"/>
      <c r="T18" s="121"/>
      <c r="U18" s="122">
        <f t="shared" ref="U18:U53" si="2">SUM(R18:T18)</f>
        <v>0</v>
      </c>
      <c r="V18" s="76"/>
      <c r="W18" s="76"/>
      <c r="X18" s="76"/>
      <c r="Y18" s="76"/>
      <c r="Z18" s="76"/>
    </row>
    <row r="19" ht="12.75" customHeight="1">
      <c r="A19" s="76"/>
      <c r="B19" s="123" t="s">
        <v>321</v>
      </c>
      <c r="C19" s="124"/>
      <c r="D19" s="116"/>
      <c r="E19" s="116"/>
      <c r="F19" s="116"/>
      <c r="G19" s="116"/>
      <c r="H19" s="125">
        <f t="shared" si="1"/>
        <v>0</v>
      </c>
      <c r="I19" s="126"/>
      <c r="J19" s="127"/>
      <c r="K19" s="128">
        <f>SUM(I19:J19)</f>
        <v>0</v>
      </c>
      <c r="L19" s="129">
        <f>ROUNDDOWN((K19/10),)</f>
        <v>0</v>
      </c>
      <c r="M19" s="130"/>
      <c r="N19" s="131"/>
      <c r="O19" s="131"/>
      <c r="P19" s="131"/>
      <c r="Q19" s="131"/>
      <c r="R19" s="107"/>
      <c r="S19" s="107"/>
      <c r="T19" s="107"/>
      <c r="U19" s="132">
        <f t="shared" si="2"/>
        <v>0</v>
      </c>
      <c r="V19" s="76"/>
      <c r="W19" s="76"/>
      <c r="X19" s="76"/>
      <c r="Y19" s="76"/>
      <c r="Z19" s="76"/>
    </row>
    <row r="20" ht="12.75" customHeight="1">
      <c r="A20" s="76"/>
      <c r="B20" s="133"/>
      <c r="C20" s="133"/>
      <c r="D20" s="76"/>
      <c r="E20" s="76"/>
      <c r="F20" s="76"/>
      <c r="G20" s="76"/>
      <c r="H20" s="102"/>
      <c r="I20" s="76"/>
      <c r="J20" s="76"/>
      <c r="K20" s="76"/>
      <c r="L20" s="76"/>
      <c r="M20" s="134"/>
      <c r="N20" s="135"/>
      <c r="O20" s="135"/>
      <c r="P20" s="135"/>
      <c r="Q20" s="135"/>
      <c r="R20" s="136"/>
      <c r="S20" s="136"/>
      <c r="T20" s="136"/>
      <c r="U20" s="137">
        <f t="shared" si="2"/>
        <v>0</v>
      </c>
      <c r="V20" s="76"/>
      <c r="W20" s="76"/>
      <c r="X20" s="76"/>
      <c r="Y20" s="76"/>
      <c r="Z20" s="76"/>
    </row>
    <row r="21" ht="14.25" customHeight="1">
      <c r="A21" s="76"/>
      <c r="B21" s="99" t="s">
        <v>302</v>
      </c>
      <c r="C21" s="29"/>
      <c r="D21" s="118"/>
      <c r="E21" s="118"/>
      <c r="F21" s="118"/>
      <c r="G21" s="119"/>
      <c r="H21" s="138" t="s">
        <v>231</v>
      </c>
      <c r="I21" s="100"/>
      <c r="J21" s="100"/>
      <c r="K21" s="100"/>
      <c r="L21" s="101"/>
      <c r="M21" s="130"/>
      <c r="N21" s="131"/>
      <c r="O21" s="131"/>
      <c r="P21" s="131"/>
      <c r="Q21" s="131"/>
      <c r="R21" s="107"/>
      <c r="S21" s="107"/>
      <c r="T21" s="107"/>
      <c r="U21" s="132">
        <f t="shared" si="2"/>
        <v>0</v>
      </c>
      <c r="V21" s="76"/>
      <c r="W21" s="76"/>
      <c r="X21" s="76"/>
      <c r="Y21" s="76"/>
      <c r="Z21" s="76"/>
    </row>
    <row r="22" ht="12.75" customHeight="1">
      <c r="A22" s="76"/>
      <c r="B22" s="103"/>
      <c r="C22" s="82" t="s">
        <v>336</v>
      </c>
      <c r="E22" s="82" t="s">
        <v>303</v>
      </c>
      <c r="F22" s="82"/>
      <c r="G22" s="104"/>
      <c r="H22" s="103" t="s">
        <v>281</v>
      </c>
      <c r="I22" s="82" t="s">
        <v>53</v>
      </c>
      <c r="J22" s="82" t="s">
        <v>54</v>
      </c>
      <c r="K22" s="82" t="s">
        <v>55</v>
      </c>
      <c r="L22" s="104" t="s">
        <v>56</v>
      </c>
      <c r="M22" s="134"/>
      <c r="N22" s="135"/>
      <c r="O22" s="135"/>
      <c r="P22" s="135"/>
      <c r="Q22" s="135"/>
      <c r="R22" s="136"/>
      <c r="S22" s="136"/>
      <c r="T22" s="136"/>
      <c r="U22" s="137">
        <f t="shared" si="2"/>
        <v>0</v>
      </c>
      <c r="V22" s="76"/>
      <c r="W22" s="76"/>
      <c r="X22" s="76"/>
      <c r="Y22" s="76"/>
      <c r="Z22" s="76"/>
    </row>
    <row r="23" ht="12.75" customHeight="1">
      <c r="A23" s="76"/>
      <c r="B23" s="103" t="s">
        <v>281</v>
      </c>
      <c r="C23" s="82" t="s">
        <v>337</v>
      </c>
      <c r="E23" s="82" t="s">
        <v>311</v>
      </c>
      <c r="F23" s="82" t="s">
        <v>306</v>
      </c>
      <c r="G23" s="104" t="s">
        <v>307</v>
      </c>
      <c r="H23" s="103"/>
      <c r="I23" s="82" t="s">
        <v>60</v>
      </c>
      <c r="J23" s="82"/>
      <c r="K23" s="82"/>
      <c r="L23" s="104"/>
      <c r="M23" s="130"/>
      <c r="N23" s="131"/>
      <c r="O23" s="131"/>
      <c r="P23" s="131"/>
      <c r="Q23" s="131"/>
      <c r="R23" s="107"/>
      <c r="S23" s="107"/>
      <c r="T23" s="107"/>
      <c r="U23" s="132">
        <f t="shared" si="2"/>
        <v>0</v>
      </c>
      <c r="V23" s="76"/>
      <c r="W23" s="76"/>
      <c r="X23" s="76"/>
      <c r="Y23" s="76"/>
      <c r="Z23" s="76"/>
    </row>
    <row r="24" ht="12.75" customHeight="1">
      <c r="A24" s="76"/>
      <c r="B24" s="130" t="s">
        <v>313</v>
      </c>
      <c r="C24" s="139" t="s">
        <v>338</v>
      </c>
      <c r="D24" s="106"/>
      <c r="E24" s="120">
        <f>ROUNDDOWN((H14+H15+H16)/2,)</f>
        <v>0</v>
      </c>
      <c r="F24" s="107"/>
      <c r="G24" s="140">
        <f t="shared" ref="G24:G27" si="3">SUM(E24:F24)</f>
        <v>0</v>
      </c>
      <c r="H24" s="130"/>
      <c r="I24" s="107"/>
      <c r="J24" s="107"/>
      <c r="K24" s="107"/>
      <c r="L24" s="141"/>
      <c r="M24" s="134"/>
      <c r="N24" s="135"/>
      <c r="O24" s="135"/>
      <c r="P24" s="135"/>
      <c r="Q24" s="135"/>
      <c r="R24" s="136"/>
      <c r="S24" s="136"/>
      <c r="T24" s="136"/>
      <c r="U24" s="137">
        <f t="shared" si="2"/>
        <v>0</v>
      </c>
      <c r="V24" s="76"/>
      <c r="W24" s="76"/>
      <c r="X24" s="76"/>
      <c r="Y24" s="76"/>
      <c r="Z24" s="76"/>
    </row>
    <row r="25" ht="12.75" customHeight="1">
      <c r="A25" s="76"/>
      <c r="B25" s="130" t="s">
        <v>339</v>
      </c>
      <c r="C25" s="142" t="s">
        <v>340</v>
      </c>
      <c r="D25" s="110"/>
      <c r="E25" s="120">
        <f>ROUNDDOWN((H12+H15+H16)/2,)</f>
        <v>0</v>
      </c>
      <c r="F25" s="107"/>
      <c r="G25" s="140">
        <f t="shared" si="3"/>
        <v>0</v>
      </c>
      <c r="H25" s="130"/>
      <c r="I25" s="107"/>
      <c r="J25" s="107"/>
      <c r="K25" s="107"/>
      <c r="L25" s="141"/>
      <c r="M25" s="130"/>
      <c r="N25" s="131"/>
      <c r="O25" s="131"/>
      <c r="P25" s="131"/>
      <c r="Q25" s="131"/>
      <c r="R25" s="107"/>
      <c r="S25" s="107"/>
      <c r="T25" s="107"/>
      <c r="U25" s="132">
        <f t="shared" si="2"/>
        <v>0</v>
      </c>
      <c r="V25" s="76"/>
      <c r="W25" s="76"/>
      <c r="X25" s="76"/>
      <c r="Y25" s="76"/>
      <c r="Z25" s="76"/>
    </row>
    <row r="26" ht="14.25" customHeight="1">
      <c r="A26" s="76"/>
      <c r="B26" s="130" t="s">
        <v>341</v>
      </c>
      <c r="C26" s="142" t="s">
        <v>342</v>
      </c>
      <c r="D26" s="110"/>
      <c r="E26" s="120">
        <f>H18</f>
        <v>0</v>
      </c>
      <c r="F26" s="107"/>
      <c r="G26" s="140">
        <f t="shared" si="3"/>
        <v>0</v>
      </c>
      <c r="H26" s="143" t="s">
        <v>307</v>
      </c>
      <c r="I26" s="116"/>
      <c r="J26" s="144">
        <f t="shared" ref="J26:L26" si="4">SUM(J24:J25)</f>
        <v>0</v>
      </c>
      <c r="K26" s="144">
        <f t="shared" si="4"/>
        <v>0</v>
      </c>
      <c r="L26" s="145">
        <f t="shared" si="4"/>
        <v>0</v>
      </c>
      <c r="M26" s="134"/>
      <c r="N26" s="135"/>
      <c r="O26" s="135"/>
      <c r="P26" s="135"/>
      <c r="Q26" s="135"/>
      <c r="R26" s="136"/>
      <c r="S26" s="136"/>
      <c r="T26" s="136"/>
      <c r="U26" s="137">
        <f t="shared" si="2"/>
        <v>0</v>
      </c>
      <c r="V26" s="76"/>
      <c r="W26" s="76"/>
      <c r="X26" s="76"/>
      <c r="Y26" s="76"/>
      <c r="Z26" s="76"/>
    </row>
    <row r="27" ht="12.75" customHeight="1">
      <c r="A27" s="76"/>
      <c r="B27" s="88" t="s">
        <v>343</v>
      </c>
      <c r="C27" s="146" t="s">
        <v>344</v>
      </c>
      <c r="D27" s="124"/>
      <c r="E27" s="115">
        <f>ROUNDDOWN((H15+H16+H19)/3,)</f>
        <v>0</v>
      </c>
      <c r="F27" s="147"/>
      <c r="G27" s="145">
        <f t="shared" si="3"/>
        <v>0</v>
      </c>
      <c r="H27" s="83"/>
      <c r="I27" s="148" t="s">
        <v>62</v>
      </c>
      <c r="J27" s="118"/>
      <c r="K27" s="118"/>
      <c r="L27" s="119"/>
      <c r="M27" s="130"/>
      <c r="N27" s="131"/>
      <c r="O27" s="131"/>
      <c r="P27" s="131"/>
      <c r="Q27" s="131"/>
      <c r="R27" s="107"/>
      <c r="S27" s="107"/>
      <c r="T27" s="107"/>
      <c r="U27" s="132">
        <f t="shared" si="2"/>
        <v>0</v>
      </c>
      <c r="V27" s="76"/>
      <c r="W27" s="76"/>
      <c r="X27" s="76"/>
      <c r="Y27" s="76"/>
      <c r="Z27" s="76"/>
    </row>
    <row r="28" ht="12.75" customHeight="1">
      <c r="A28" s="76"/>
      <c r="B28" s="76"/>
      <c r="C28" s="76"/>
      <c r="D28" s="76"/>
      <c r="E28" s="76"/>
      <c r="F28" s="76"/>
      <c r="G28" s="76"/>
      <c r="H28" s="130"/>
      <c r="I28" s="107"/>
      <c r="J28" s="107"/>
      <c r="K28" s="107"/>
      <c r="L28" s="141"/>
      <c r="M28" s="134"/>
      <c r="N28" s="135"/>
      <c r="O28" s="135"/>
      <c r="P28" s="135"/>
      <c r="Q28" s="135"/>
      <c r="R28" s="136"/>
      <c r="S28" s="136"/>
      <c r="T28" s="136"/>
      <c r="U28" s="137">
        <f t="shared" si="2"/>
        <v>0</v>
      </c>
      <c r="V28" s="76"/>
      <c r="W28" s="76"/>
      <c r="X28" s="76"/>
      <c r="Y28" s="76"/>
      <c r="Z28" s="76"/>
    </row>
    <row r="29" ht="12.75" customHeight="1">
      <c r="A29" s="76"/>
      <c r="B29" s="76"/>
      <c r="C29" s="76"/>
      <c r="D29" s="76"/>
      <c r="E29" s="76"/>
      <c r="F29" s="76"/>
      <c r="G29" s="76"/>
      <c r="H29" s="130"/>
      <c r="I29" s="107"/>
      <c r="J29" s="107"/>
      <c r="K29" s="107"/>
      <c r="L29" s="141"/>
      <c r="M29" s="130"/>
      <c r="N29" s="131"/>
      <c r="O29" s="131"/>
      <c r="P29" s="131"/>
      <c r="Q29" s="131"/>
      <c r="R29" s="107"/>
      <c r="S29" s="107"/>
      <c r="T29" s="107"/>
      <c r="U29" s="132">
        <f t="shared" si="2"/>
        <v>0</v>
      </c>
      <c r="V29" s="76"/>
      <c r="W29" s="76"/>
      <c r="X29" s="76"/>
      <c r="Y29" s="76"/>
      <c r="Z29" s="76"/>
    </row>
    <row r="30" ht="12.75" customHeight="1">
      <c r="A30" s="76"/>
      <c r="B30" s="76"/>
      <c r="C30" s="76"/>
      <c r="D30" s="76"/>
      <c r="E30" s="76"/>
      <c r="F30" s="76"/>
      <c r="G30" s="76"/>
      <c r="H30" s="143" t="s">
        <v>307</v>
      </c>
      <c r="I30" s="116"/>
      <c r="J30" s="144">
        <f t="shared" ref="J30:L30" si="5">SUM(J28:J29)</f>
        <v>0</v>
      </c>
      <c r="K30" s="144">
        <f t="shared" si="5"/>
        <v>0</v>
      </c>
      <c r="L30" s="145">
        <f t="shared" si="5"/>
        <v>0</v>
      </c>
      <c r="M30" s="134"/>
      <c r="N30" s="135"/>
      <c r="O30" s="135"/>
      <c r="P30" s="135"/>
      <c r="Q30" s="135"/>
      <c r="R30" s="136"/>
      <c r="S30" s="136"/>
      <c r="T30" s="136"/>
      <c r="U30" s="137">
        <f t="shared" si="2"/>
        <v>0</v>
      </c>
      <c r="V30" s="76"/>
      <c r="W30" s="76"/>
      <c r="X30" s="76"/>
      <c r="Y30" s="76"/>
      <c r="Z30" s="76"/>
    </row>
    <row r="31" ht="12.75" customHeight="1">
      <c r="A31" s="76"/>
      <c r="B31" s="76"/>
      <c r="C31" s="76"/>
      <c r="D31" s="76"/>
      <c r="E31" s="76"/>
      <c r="F31" s="76"/>
      <c r="G31" s="76"/>
      <c r="H31" s="83"/>
      <c r="I31" s="148" t="s">
        <v>84</v>
      </c>
      <c r="J31" s="118"/>
      <c r="K31" s="118"/>
      <c r="L31" s="119"/>
      <c r="M31" s="130"/>
      <c r="N31" s="131"/>
      <c r="O31" s="131"/>
      <c r="P31" s="131"/>
      <c r="Q31" s="131"/>
      <c r="R31" s="107"/>
      <c r="S31" s="107"/>
      <c r="T31" s="107"/>
      <c r="U31" s="132">
        <f t="shared" si="2"/>
        <v>0</v>
      </c>
      <c r="V31" s="76"/>
      <c r="W31" s="76"/>
      <c r="X31" s="76"/>
      <c r="Y31" s="76"/>
      <c r="Z31" s="76"/>
    </row>
    <row r="32" ht="12.75" customHeight="1">
      <c r="A32" s="76"/>
      <c r="B32" s="76"/>
      <c r="C32" s="76"/>
      <c r="D32" s="76"/>
      <c r="E32" s="76"/>
      <c r="F32" s="76"/>
      <c r="G32" s="76"/>
      <c r="H32" s="143"/>
      <c r="I32" s="147"/>
      <c r="J32" s="147"/>
      <c r="K32" s="147"/>
      <c r="L32" s="149"/>
      <c r="M32" s="134"/>
      <c r="N32" s="135"/>
      <c r="O32" s="135"/>
      <c r="P32" s="135"/>
      <c r="Q32" s="135"/>
      <c r="R32" s="136"/>
      <c r="S32" s="136"/>
      <c r="T32" s="136"/>
      <c r="U32" s="137">
        <f t="shared" si="2"/>
        <v>0</v>
      </c>
      <c r="V32" s="76"/>
      <c r="W32" s="76"/>
      <c r="X32" s="76"/>
      <c r="Y32" s="76"/>
      <c r="Z32" s="76"/>
    </row>
    <row r="33" ht="12.75" customHeight="1">
      <c r="A33" s="76"/>
      <c r="B33" s="76"/>
      <c r="C33" s="76"/>
      <c r="D33" s="76"/>
      <c r="E33" s="76"/>
      <c r="F33" s="76"/>
      <c r="G33" s="76"/>
      <c r="H33" s="76"/>
      <c r="I33" s="76"/>
      <c r="J33" s="76"/>
      <c r="K33" s="76"/>
      <c r="L33" s="76"/>
      <c r="M33" s="130"/>
      <c r="N33" s="131"/>
      <c r="O33" s="131"/>
      <c r="P33" s="131"/>
      <c r="Q33" s="131"/>
      <c r="R33" s="107"/>
      <c r="S33" s="107"/>
      <c r="T33" s="107"/>
      <c r="U33" s="132">
        <f t="shared" si="2"/>
        <v>0</v>
      </c>
      <c r="V33" s="76"/>
      <c r="W33" s="76"/>
      <c r="X33" s="76"/>
      <c r="Y33" s="76"/>
      <c r="Z33" s="76"/>
    </row>
    <row r="34" ht="14.25" customHeight="1">
      <c r="A34" s="76"/>
      <c r="B34" s="99" t="s">
        <v>304</v>
      </c>
      <c r="C34" s="29"/>
      <c r="D34" s="100"/>
      <c r="E34" s="101"/>
      <c r="F34" s="99" t="s">
        <v>345</v>
      </c>
      <c r="G34" s="29"/>
      <c r="H34" s="150"/>
      <c r="I34" s="150"/>
      <c r="J34" s="150"/>
      <c r="K34" s="100"/>
      <c r="L34" s="101"/>
      <c r="M34" s="134"/>
      <c r="N34" s="135"/>
      <c r="O34" s="135"/>
      <c r="P34" s="135"/>
      <c r="Q34" s="135"/>
      <c r="R34" s="136"/>
      <c r="S34" s="136"/>
      <c r="T34" s="136"/>
      <c r="U34" s="137">
        <f t="shared" si="2"/>
        <v>0</v>
      </c>
      <c r="V34" s="76"/>
      <c r="W34" s="76"/>
      <c r="X34" s="76"/>
      <c r="Y34" s="76"/>
      <c r="Z34" s="76"/>
    </row>
    <row r="35" ht="12.75" customHeight="1">
      <c r="A35" s="76"/>
      <c r="B35" s="103"/>
      <c r="C35" s="82"/>
      <c r="D35" s="82"/>
      <c r="E35" s="104"/>
      <c r="F35" s="103"/>
      <c r="G35" s="82"/>
      <c r="H35" s="82"/>
      <c r="I35" s="82"/>
      <c r="J35" s="82"/>
      <c r="K35" s="82"/>
      <c r="L35" s="104"/>
      <c r="M35" s="130"/>
      <c r="N35" s="131"/>
      <c r="O35" s="131"/>
      <c r="P35" s="131"/>
      <c r="Q35" s="131"/>
      <c r="R35" s="107"/>
      <c r="S35" s="107"/>
      <c r="T35" s="107"/>
      <c r="U35" s="132">
        <f t="shared" si="2"/>
        <v>0</v>
      </c>
      <c r="V35" s="76"/>
      <c r="W35" s="76"/>
      <c r="X35" s="76"/>
      <c r="Y35" s="76"/>
      <c r="Z35" s="76"/>
    </row>
    <row r="36" ht="12.75" customHeight="1">
      <c r="A36" s="76"/>
      <c r="B36" s="103" t="s">
        <v>281</v>
      </c>
      <c r="C36" s="82"/>
      <c r="D36" s="82"/>
      <c r="E36" s="104" t="s">
        <v>311</v>
      </c>
      <c r="F36" s="103" t="s">
        <v>281</v>
      </c>
      <c r="G36" s="82"/>
      <c r="H36" s="82"/>
      <c r="I36" s="82"/>
      <c r="J36" s="82"/>
      <c r="K36" s="82" t="s">
        <v>346</v>
      </c>
      <c r="L36" s="104" t="s">
        <v>347</v>
      </c>
      <c r="M36" s="134"/>
      <c r="N36" s="135"/>
      <c r="O36" s="135"/>
      <c r="P36" s="135"/>
      <c r="Q36" s="135"/>
      <c r="R36" s="136"/>
      <c r="S36" s="136"/>
      <c r="T36" s="136"/>
      <c r="U36" s="137">
        <f t="shared" si="2"/>
        <v>0</v>
      </c>
      <c r="V36" s="76"/>
      <c r="W36" s="76"/>
      <c r="X36" s="76"/>
      <c r="Y36" s="76"/>
      <c r="Z36" s="76"/>
    </row>
    <row r="37" ht="12.75" customHeight="1">
      <c r="A37" s="76"/>
      <c r="B37" s="130"/>
      <c r="C37" s="131"/>
      <c r="D37" s="131"/>
      <c r="E37" s="151"/>
      <c r="F37" s="130"/>
      <c r="G37" s="131"/>
      <c r="H37" s="131"/>
      <c r="I37" s="131"/>
      <c r="J37" s="131"/>
      <c r="K37" s="131"/>
      <c r="L37" s="151"/>
      <c r="M37" s="130"/>
      <c r="N37" s="131"/>
      <c r="O37" s="131"/>
      <c r="P37" s="131"/>
      <c r="Q37" s="131"/>
      <c r="R37" s="107"/>
      <c r="S37" s="107"/>
      <c r="T37" s="107"/>
      <c r="U37" s="132">
        <f t="shared" si="2"/>
        <v>0</v>
      </c>
      <c r="V37" s="76"/>
      <c r="W37" s="76"/>
      <c r="X37" s="76"/>
      <c r="Y37" s="76"/>
      <c r="Z37" s="76"/>
    </row>
    <row r="38" ht="12.75" customHeight="1">
      <c r="A38" s="76"/>
      <c r="B38" s="130"/>
      <c r="C38" s="131"/>
      <c r="D38" s="131"/>
      <c r="E38" s="151"/>
      <c r="F38" s="130"/>
      <c r="G38" s="131"/>
      <c r="H38" s="131"/>
      <c r="I38" s="131"/>
      <c r="J38" s="131"/>
      <c r="K38" s="131"/>
      <c r="L38" s="151"/>
      <c r="M38" s="134"/>
      <c r="N38" s="135"/>
      <c r="O38" s="135"/>
      <c r="P38" s="135"/>
      <c r="Q38" s="135"/>
      <c r="R38" s="136"/>
      <c r="S38" s="136"/>
      <c r="T38" s="136"/>
      <c r="U38" s="137">
        <f t="shared" si="2"/>
        <v>0</v>
      </c>
      <c r="V38" s="76"/>
      <c r="W38" s="76"/>
      <c r="X38" s="76"/>
      <c r="Y38" s="76"/>
      <c r="Z38" s="76"/>
    </row>
    <row r="39" ht="12.75" customHeight="1">
      <c r="A39" s="76"/>
      <c r="B39" s="130"/>
      <c r="C39" s="131"/>
      <c r="D39" s="131"/>
      <c r="E39" s="151"/>
      <c r="F39" s="130"/>
      <c r="G39" s="131"/>
      <c r="H39" s="131"/>
      <c r="I39" s="131"/>
      <c r="J39" s="131"/>
      <c r="K39" s="131"/>
      <c r="L39" s="151"/>
      <c r="M39" s="130"/>
      <c r="N39" s="131"/>
      <c r="O39" s="131"/>
      <c r="P39" s="131"/>
      <c r="Q39" s="131"/>
      <c r="R39" s="107"/>
      <c r="S39" s="107"/>
      <c r="T39" s="107"/>
      <c r="U39" s="132">
        <f t="shared" si="2"/>
        <v>0</v>
      </c>
      <c r="V39" s="76"/>
      <c r="W39" s="76"/>
      <c r="X39" s="76"/>
      <c r="Y39" s="76"/>
      <c r="Z39" s="76"/>
    </row>
    <row r="40" ht="12.75" customHeight="1">
      <c r="A40" s="76"/>
      <c r="B40" s="130"/>
      <c r="C40" s="131"/>
      <c r="D40" s="131"/>
      <c r="E40" s="151"/>
      <c r="F40" s="130"/>
      <c r="G40" s="131"/>
      <c r="H40" s="131"/>
      <c r="I40" s="131"/>
      <c r="J40" s="131"/>
      <c r="K40" s="131"/>
      <c r="L40" s="151"/>
      <c r="M40" s="134"/>
      <c r="N40" s="135"/>
      <c r="O40" s="135"/>
      <c r="P40" s="135"/>
      <c r="Q40" s="135"/>
      <c r="R40" s="136"/>
      <c r="S40" s="136"/>
      <c r="T40" s="136"/>
      <c r="U40" s="137">
        <f t="shared" si="2"/>
        <v>0</v>
      </c>
      <c r="V40" s="76"/>
      <c r="W40" s="76"/>
      <c r="X40" s="76"/>
      <c r="Y40" s="76"/>
      <c r="Z40" s="76"/>
    </row>
    <row r="41" ht="12.75" customHeight="1">
      <c r="A41" s="76"/>
      <c r="B41" s="130"/>
      <c r="C41" s="131"/>
      <c r="D41" s="131"/>
      <c r="E41" s="151"/>
      <c r="F41" s="130"/>
      <c r="G41" s="131"/>
      <c r="H41" s="131"/>
      <c r="I41" s="131"/>
      <c r="J41" s="131"/>
      <c r="K41" s="131"/>
      <c r="L41" s="151"/>
      <c r="M41" s="130"/>
      <c r="N41" s="131"/>
      <c r="O41" s="131"/>
      <c r="P41" s="131"/>
      <c r="Q41" s="131"/>
      <c r="R41" s="107"/>
      <c r="S41" s="107"/>
      <c r="T41" s="107"/>
      <c r="U41" s="132">
        <f t="shared" si="2"/>
        <v>0</v>
      </c>
      <c r="V41" s="76"/>
      <c r="W41" s="76"/>
      <c r="X41" s="76"/>
      <c r="Y41" s="76"/>
      <c r="Z41" s="76"/>
    </row>
    <row r="42" ht="12.75" customHeight="1">
      <c r="A42" s="76"/>
      <c r="B42" s="130"/>
      <c r="C42" s="131"/>
      <c r="D42" s="131"/>
      <c r="E42" s="151"/>
      <c r="F42" s="130"/>
      <c r="G42" s="131"/>
      <c r="H42" s="131"/>
      <c r="I42" s="131"/>
      <c r="J42" s="131"/>
      <c r="K42" s="131"/>
      <c r="L42" s="151"/>
      <c r="M42" s="134"/>
      <c r="N42" s="135"/>
      <c r="O42" s="135"/>
      <c r="P42" s="135"/>
      <c r="Q42" s="135"/>
      <c r="R42" s="136"/>
      <c r="S42" s="136"/>
      <c r="T42" s="136"/>
      <c r="U42" s="137">
        <f t="shared" si="2"/>
        <v>0</v>
      </c>
      <c r="V42" s="76"/>
      <c r="W42" s="76"/>
      <c r="X42" s="76"/>
      <c r="Y42" s="76"/>
      <c r="Z42" s="76"/>
    </row>
    <row r="43" ht="12.75" customHeight="1">
      <c r="A43" s="76"/>
      <c r="B43" s="130"/>
      <c r="C43" s="131"/>
      <c r="D43" s="131"/>
      <c r="E43" s="151"/>
      <c r="F43" s="130"/>
      <c r="G43" s="131"/>
      <c r="H43" s="131"/>
      <c r="I43" s="131"/>
      <c r="J43" s="131"/>
      <c r="K43" s="131"/>
      <c r="L43" s="151"/>
      <c r="M43" s="130"/>
      <c r="N43" s="131"/>
      <c r="O43" s="131"/>
      <c r="P43" s="131"/>
      <c r="Q43" s="131"/>
      <c r="R43" s="107"/>
      <c r="S43" s="107"/>
      <c r="T43" s="107"/>
      <c r="U43" s="132">
        <f t="shared" si="2"/>
        <v>0</v>
      </c>
      <c r="V43" s="76"/>
      <c r="W43" s="76"/>
      <c r="X43" s="76"/>
      <c r="Y43" s="76"/>
      <c r="Z43" s="76"/>
    </row>
    <row r="44" ht="12.75" customHeight="1">
      <c r="A44" s="76"/>
      <c r="B44" s="130"/>
      <c r="C44" s="131"/>
      <c r="D44" s="131"/>
      <c r="E44" s="151"/>
      <c r="F44" s="130"/>
      <c r="G44" s="131"/>
      <c r="H44" s="131"/>
      <c r="I44" s="131"/>
      <c r="J44" s="131"/>
      <c r="K44" s="131"/>
      <c r="L44" s="151"/>
      <c r="M44" s="134"/>
      <c r="N44" s="135"/>
      <c r="O44" s="135"/>
      <c r="P44" s="135"/>
      <c r="Q44" s="135"/>
      <c r="R44" s="136"/>
      <c r="S44" s="136"/>
      <c r="T44" s="136"/>
      <c r="U44" s="137">
        <f t="shared" si="2"/>
        <v>0</v>
      </c>
      <c r="V44" s="76"/>
      <c r="W44" s="76"/>
      <c r="X44" s="76"/>
      <c r="Y44" s="76"/>
      <c r="Z44" s="76"/>
    </row>
    <row r="45" ht="12.75" customHeight="1">
      <c r="A45" s="76"/>
      <c r="B45" s="130"/>
      <c r="C45" s="131"/>
      <c r="D45" s="131"/>
      <c r="E45" s="151"/>
      <c r="F45" s="130"/>
      <c r="G45" s="131"/>
      <c r="H45" s="131"/>
      <c r="I45" s="131"/>
      <c r="J45" s="131"/>
      <c r="K45" s="131"/>
      <c r="L45" s="151"/>
      <c r="M45" s="130"/>
      <c r="N45" s="131"/>
      <c r="O45" s="131"/>
      <c r="P45" s="131"/>
      <c r="Q45" s="131"/>
      <c r="R45" s="107"/>
      <c r="S45" s="107"/>
      <c r="T45" s="107"/>
      <c r="U45" s="132">
        <f t="shared" si="2"/>
        <v>0</v>
      </c>
      <c r="V45" s="76"/>
      <c r="W45" s="76"/>
      <c r="X45" s="76"/>
      <c r="Y45" s="76"/>
      <c r="Z45" s="76"/>
    </row>
    <row r="46" ht="12.75" customHeight="1">
      <c r="A46" s="76"/>
      <c r="B46" s="130"/>
      <c r="C46" s="131"/>
      <c r="D46" s="131"/>
      <c r="E46" s="151"/>
      <c r="F46" s="130"/>
      <c r="G46" s="131"/>
      <c r="H46" s="131"/>
      <c r="I46" s="131"/>
      <c r="J46" s="131"/>
      <c r="K46" s="131"/>
      <c r="L46" s="151"/>
      <c r="M46" s="134"/>
      <c r="N46" s="135"/>
      <c r="O46" s="135"/>
      <c r="P46" s="135"/>
      <c r="Q46" s="135"/>
      <c r="R46" s="136"/>
      <c r="S46" s="136"/>
      <c r="T46" s="136"/>
      <c r="U46" s="137">
        <f t="shared" si="2"/>
        <v>0</v>
      </c>
      <c r="V46" s="76"/>
      <c r="W46" s="76"/>
      <c r="X46" s="76"/>
      <c r="Y46" s="76"/>
      <c r="Z46" s="76"/>
    </row>
    <row r="47" ht="12.75" customHeight="1">
      <c r="A47" s="76"/>
      <c r="B47" s="130"/>
      <c r="C47" s="131"/>
      <c r="D47" s="131"/>
      <c r="E47" s="151"/>
      <c r="F47" s="130"/>
      <c r="G47" s="131"/>
      <c r="H47" s="131"/>
      <c r="I47" s="131"/>
      <c r="J47" s="131"/>
      <c r="K47" s="131"/>
      <c r="L47" s="151"/>
      <c r="M47" s="130"/>
      <c r="N47" s="131"/>
      <c r="O47" s="131"/>
      <c r="P47" s="131"/>
      <c r="Q47" s="131"/>
      <c r="R47" s="107"/>
      <c r="S47" s="107"/>
      <c r="T47" s="107"/>
      <c r="U47" s="132">
        <f t="shared" si="2"/>
        <v>0</v>
      </c>
      <c r="V47" s="76"/>
      <c r="W47" s="76"/>
      <c r="X47" s="76"/>
      <c r="Y47" s="76"/>
      <c r="Z47" s="76"/>
    </row>
    <row r="48" ht="12.75" customHeight="1">
      <c r="A48" s="76"/>
      <c r="B48" s="130"/>
      <c r="C48" s="131"/>
      <c r="D48" s="131"/>
      <c r="E48" s="151"/>
      <c r="F48" s="130"/>
      <c r="G48" s="131"/>
      <c r="H48" s="131"/>
      <c r="I48" s="131"/>
      <c r="J48" s="131"/>
      <c r="K48" s="131"/>
      <c r="L48" s="151"/>
      <c r="M48" s="134"/>
      <c r="N48" s="135"/>
      <c r="O48" s="135"/>
      <c r="P48" s="135"/>
      <c r="Q48" s="135"/>
      <c r="R48" s="136"/>
      <c r="S48" s="136"/>
      <c r="T48" s="136"/>
      <c r="U48" s="137">
        <f t="shared" si="2"/>
        <v>0</v>
      </c>
      <c r="V48" s="76"/>
      <c r="W48" s="76"/>
      <c r="X48" s="76"/>
      <c r="Y48" s="76"/>
      <c r="Z48" s="76"/>
    </row>
    <row r="49" ht="12.75" customHeight="1">
      <c r="A49" s="76"/>
      <c r="B49" s="130"/>
      <c r="C49" s="131"/>
      <c r="D49" s="131"/>
      <c r="E49" s="151"/>
      <c r="F49" s="130"/>
      <c r="G49" s="131"/>
      <c r="H49" s="131"/>
      <c r="I49" s="131"/>
      <c r="J49" s="131"/>
      <c r="K49" s="131"/>
      <c r="L49" s="151"/>
      <c r="M49" s="130"/>
      <c r="N49" s="131"/>
      <c r="O49" s="131"/>
      <c r="P49" s="131"/>
      <c r="Q49" s="131"/>
      <c r="R49" s="107"/>
      <c r="S49" s="107"/>
      <c r="T49" s="107"/>
      <c r="U49" s="132">
        <f t="shared" si="2"/>
        <v>0</v>
      </c>
      <c r="V49" s="76"/>
      <c r="W49" s="76"/>
      <c r="X49" s="76"/>
      <c r="Y49" s="76"/>
      <c r="Z49" s="76"/>
    </row>
    <row r="50" ht="12.75" customHeight="1">
      <c r="A50" s="76"/>
      <c r="B50" s="130"/>
      <c r="C50" s="131"/>
      <c r="D50" s="131"/>
      <c r="E50" s="151"/>
      <c r="F50" s="130"/>
      <c r="G50" s="131"/>
      <c r="H50" s="131"/>
      <c r="I50" s="131"/>
      <c r="J50" s="131"/>
      <c r="K50" s="131"/>
      <c r="L50" s="151"/>
      <c r="M50" s="134"/>
      <c r="N50" s="135"/>
      <c r="O50" s="135"/>
      <c r="P50" s="135"/>
      <c r="Q50" s="135"/>
      <c r="R50" s="136"/>
      <c r="S50" s="136"/>
      <c r="T50" s="136"/>
      <c r="U50" s="137">
        <f t="shared" si="2"/>
        <v>0</v>
      </c>
      <c r="V50" s="76"/>
      <c r="W50" s="76"/>
      <c r="X50" s="76"/>
      <c r="Y50" s="76"/>
      <c r="Z50" s="76"/>
    </row>
    <row r="51" ht="12.75" customHeight="1">
      <c r="A51" s="76"/>
      <c r="B51" s="130"/>
      <c r="C51" s="131"/>
      <c r="D51" s="131"/>
      <c r="E51" s="151"/>
      <c r="F51" s="130"/>
      <c r="G51" s="131"/>
      <c r="H51" s="131"/>
      <c r="I51" s="131"/>
      <c r="J51" s="131"/>
      <c r="K51" s="131"/>
      <c r="L51" s="151"/>
      <c r="M51" s="130"/>
      <c r="N51" s="131"/>
      <c r="O51" s="131"/>
      <c r="P51" s="131"/>
      <c r="Q51" s="131"/>
      <c r="R51" s="107"/>
      <c r="S51" s="107"/>
      <c r="T51" s="107"/>
      <c r="U51" s="132">
        <f t="shared" si="2"/>
        <v>0</v>
      </c>
      <c r="V51" s="76"/>
      <c r="W51" s="76"/>
      <c r="X51" s="76"/>
      <c r="Y51" s="76"/>
      <c r="Z51" s="76"/>
    </row>
    <row r="52" ht="12.75" customHeight="1">
      <c r="A52" s="76"/>
      <c r="B52" s="130"/>
      <c r="C52" s="131"/>
      <c r="D52" s="131"/>
      <c r="E52" s="151"/>
      <c r="F52" s="130"/>
      <c r="G52" s="131"/>
      <c r="H52" s="131"/>
      <c r="I52" s="131"/>
      <c r="J52" s="131"/>
      <c r="K52" s="131"/>
      <c r="L52" s="151"/>
      <c r="M52" s="134"/>
      <c r="N52" s="135"/>
      <c r="O52" s="135"/>
      <c r="P52" s="135"/>
      <c r="Q52" s="135"/>
      <c r="R52" s="136"/>
      <c r="S52" s="136"/>
      <c r="T52" s="136"/>
      <c r="U52" s="137">
        <f t="shared" si="2"/>
        <v>0</v>
      </c>
      <c r="V52" s="76"/>
      <c r="W52" s="76"/>
      <c r="X52" s="76"/>
      <c r="Y52" s="76"/>
      <c r="Z52" s="76"/>
    </row>
    <row r="53" ht="12.75" customHeight="1">
      <c r="A53" s="76"/>
      <c r="B53" s="88"/>
      <c r="C53" s="116"/>
      <c r="D53" s="116"/>
      <c r="E53" s="152"/>
      <c r="F53" s="88"/>
      <c r="G53" s="116"/>
      <c r="H53" s="116"/>
      <c r="I53" s="116"/>
      <c r="J53" s="116"/>
      <c r="K53" s="116"/>
      <c r="L53" s="152"/>
      <c r="M53" s="88"/>
      <c r="N53" s="116"/>
      <c r="O53" s="116"/>
      <c r="P53" s="116"/>
      <c r="Q53" s="116"/>
      <c r="R53" s="147"/>
      <c r="S53" s="147"/>
      <c r="T53" s="147"/>
      <c r="U53" s="153">
        <f t="shared" si="2"/>
        <v>0</v>
      </c>
      <c r="V53" s="76"/>
      <c r="W53" s="76"/>
      <c r="X53" s="76"/>
      <c r="Y53" s="76"/>
      <c r="Z53" s="76"/>
    </row>
    <row r="54" ht="12.75" customHeight="1">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ht="12.75" customHeight="1">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row>
    <row r="56" ht="12.75" customHeight="1">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row>
    <row r="57" ht="12.75" customHeight="1">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ht="12.75" customHeight="1">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ht="12.75" customHeight="1">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ht="12.75" customHeight="1">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ht="12.75" customHeight="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ht="12.75" customHeight="1">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ht="12.75" customHeight="1">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ht="12.75" customHeight="1">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ht="12.75" customHeight="1">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ht="12.75" customHeight="1">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ht="12.75" customHeight="1">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ht="12.75" customHeight="1">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ht="12.75" customHeight="1">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ht="12.75" customHeight="1">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ht="12.75" customHeight="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ht="12.75" customHeight="1">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ht="12.75" customHeight="1">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ht="12.75" customHeight="1">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ht="12.75" customHeight="1">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ht="12.75" customHeight="1">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ht="12.75" customHeight="1">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ht="12.75" customHeight="1">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ht="12.75" customHeight="1">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ht="12.75" customHeight="1">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ht="12.75" customHeight="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ht="12.75" customHeight="1">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ht="12.75" customHeight="1">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ht="12.75" customHeight="1">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ht="12.75" customHeight="1">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ht="12.75" customHeight="1">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ht="12.75" customHeight="1">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ht="12.75" customHeight="1">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ht="12.75" customHeight="1">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ht="12.75" customHeight="1">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ht="12.75" customHeight="1">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ht="12.75" customHeight="1">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ht="12.75" customHeight="1">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ht="12.75" customHeight="1">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ht="12.75" customHeight="1">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ht="12.75" customHeight="1">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ht="12.75" customHeight="1">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ht="12.75" customHeight="1">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ht="12.75" customHeight="1">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ht="12.75" customHeight="1">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ht="12.75" customHeight="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ht="12.75" customHeight="1">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ht="12.75" customHeight="1">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ht="12.75" customHeight="1">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ht="12.75" customHeight="1">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ht="12.75" customHeight="1">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ht="12.75" customHeight="1">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ht="12.75" customHeight="1">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ht="12.75" customHeight="1">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ht="12.75" customHeight="1">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ht="12.75" customHeight="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ht="12.75" customHeight="1">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ht="12.75" customHeight="1">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ht="12.75" customHeight="1">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ht="12.75" customHeight="1">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ht="12.75" customHeight="1">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ht="12.75" customHeight="1">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ht="12.75" customHeight="1">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ht="12.75" customHeight="1">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ht="12.75" customHeight="1">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ht="12.75" customHeight="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ht="12.75" customHeight="1">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ht="12.75" customHeight="1">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ht="12.75" customHeight="1">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ht="12.75" customHeight="1">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ht="12.75" customHeight="1">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ht="12.75" customHeight="1">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ht="12.75" customHeight="1">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ht="12.75" customHeight="1">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ht="12.75" customHeight="1">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ht="12.75" customHeight="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ht="12.75" customHeight="1">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ht="12.75" customHeight="1">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ht="12.75" customHeight="1">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ht="12.75" customHeight="1">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ht="12.75" customHeight="1">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ht="12.75" customHeight="1">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ht="12.75" customHeight="1">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ht="12.75" customHeight="1">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ht="12.75" customHeight="1">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ht="12.75" customHeight="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ht="12.75" customHeight="1">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ht="12.75" customHeight="1">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ht="12.75" customHeight="1">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ht="12.75" customHeight="1">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ht="12.75" customHeight="1">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ht="12.75" customHeight="1">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ht="12.75" customHeight="1">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ht="12.75" customHeight="1">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ht="12.75" customHeight="1">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ht="12.75" customHeight="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ht="12.75" customHeight="1">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ht="12.75" customHeight="1">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ht="12.75" customHeight="1">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ht="12.75" customHeight="1">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ht="12.75" customHeight="1">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ht="12.75" customHeight="1">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ht="12.75" customHeight="1">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ht="12.75" customHeight="1">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ht="12.75" customHeight="1">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ht="12.75" customHeight="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ht="12.75" customHeight="1">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ht="12.75" customHeight="1">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ht="12.75" customHeight="1">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ht="12.75" customHeight="1">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ht="12.75" customHeight="1">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ht="12.75" customHeight="1">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ht="12.75" customHeight="1">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ht="12.75" customHeight="1">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ht="12.75" customHeight="1">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ht="12.75" customHeight="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ht="12.75" customHeight="1">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ht="12.75" customHeight="1">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ht="12.75" customHeight="1">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ht="12.75" customHeight="1">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ht="12.75" customHeight="1">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ht="12.75" customHeight="1">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ht="12.75" customHeight="1">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ht="12.75" customHeight="1">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ht="12.75" customHeight="1">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ht="12.75" customHeight="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ht="12.75" customHeight="1">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ht="12.75" customHeight="1">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ht="12.75" customHeight="1">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ht="12.75" customHeight="1">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ht="12.75" customHeight="1">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ht="12.75" customHeight="1">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ht="12.75" customHeight="1">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ht="12.75" customHeight="1">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ht="12.75" customHeight="1">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ht="12.75" customHeight="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ht="12.75" customHeight="1">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ht="12.75" customHeight="1">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ht="12.75" customHeight="1">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ht="12.75" customHeight="1">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ht="12.75" customHeight="1">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ht="12.75" customHeight="1">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ht="12.75" customHeight="1">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ht="12.75" customHeight="1">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ht="12.75" customHeight="1">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ht="12.75" customHeight="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ht="12.75" customHeight="1">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ht="12.75" customHeight="1">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ht="12.75" customHeight="1">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ht="12.75" customHeight="1">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ht="12.75" customHeight="1">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ht="12.75" customHeight="1">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ht="12.75" customHeight="1">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ht="12.75" customHeight="1">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ht="12.75" customHeight="1">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ht="12.75" customHeight="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ht="12.75" customHeight="1">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ht="12.75" customHeight="1">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ht="12.75" customHeight="1">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ht="12.75" customHeight="1">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ht="12.75" customHeight="1">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ht="12.75" customHeight="1">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ht="12.75" customHeight="1">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ht="12.75" customHeight="1">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ht="12.75" customHeight="1">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ht="12.75" customHeight="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ht="12.75" customHeight="1">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ht="12.75" customHeight="1">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ht="12.75" customHeight="1">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ht="12.75" customHeight="1">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ht="12.75" customHeight="1">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ht="12.75" customHeight="1">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ht="12.75" customHeight="1">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ht="12.75" customHeight="1">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ht="12.75" customHeight="1">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ht="12.75" customHeight="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ht="12.75" customHeight="1">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ht="12.75" customHeight="1">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ht="12.75" customHeight="1">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ht="12.75" customHeight="1">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ht="12.75" customHeight="1">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ht="12.75" customHeight="1">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ht="12.75" customHeight="1">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ht="12.75" customHeight="1">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ht="12.75" customHeight="1">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ht="12.75" customHeight="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ht="12.75" customHeight="1">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ht="12.75" customHeight="1">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ht="12.75" customHeight="1">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ht="12.75" customHeight="1">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ht="12.75" customHeight="1">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ht="12.75" customHeight="1">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ht="12.75" customHeight="1">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ht="12.75" customHeight="1">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ht="12.75" customHeight="1">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ht="12.75" customHeight="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ht="12.75" customHeight="1">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ht="12.75" customHeight="1">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ht="12.75" customHeight="1">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ht="12.75" customHeight="1">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ht="12.75" customHeight="1">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ht="12.75" customHeight="1">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ht="12.75" customHeight="1">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ht="12.75" customHeight="1">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ht="12.75" customHeight="1">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ht="12.75" customHeight="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ht="12.75" customHeight="1">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ht="12.75" customHeight="1">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ht="12.75" customHeight="1">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ht="12.75" customHeight="1">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ht="12.75" customHeight="1">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ht="12.75" customHeight="1">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ht="12.75" customHeight="1">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ht="12.75" customHeight="1">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ht="12.75" customHeight="1">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ht="12.75" customHeight="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ht="12.75" customHeight="1">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ht="12.75" customHeight="1">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ht="12.75" customHeight="1">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ht="12.75" customHeight="1">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ht="12.75" customHeight="1">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ht="12.75" customHeight="1">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ht="12.75" customHeight="1">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ht="12.75" customHeight="1">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ht="12.75" customHeight="1">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ht="12.75" customHeight="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ht="12.75" customHeight="1">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ht="12.75" customHeight="1">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ht="12.75" customHeight="1">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ht="12.75" customHeight="1">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ht="12.75" customHeight="1">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ht="12.75" customHeight="1">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ht="12.75" customHeight="1">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ht="12.75" customHeight="1">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ht="12.75" customHeight="1">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ht="12.75" customHeight="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ht="12.75" customHeight="1">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ht="12.75" customHeight="1">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ht="12.75" customHeight="1">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ht="12.75" customHeight="1">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ht="12.75" customHeight="1">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ht="12.75" customHeight="1">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ht="12.75" customHeight="1">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ht="12.75" customHeight="1">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ht="12.75" customHeight="1">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ht="12.75" customHeight="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ht="12.75" customHeight="1">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ht="12.75" customHeight="1">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ht="12.75" customHeight="1">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ht="12.75" customHeight="1">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ht="12.75" customHeight="1">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ht="12.75" customHeight="1">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ht="12.75" customHeight="1">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ht="12.75" customHeight="1">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ht="12.75" customHeight="1">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ht="12.75" customHeight="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ht="12.75" customHeight="1">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ht="12.75" customHeight="1">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ht="12.75" customHeight="1">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ht="12.75" customHeight="1">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ht="12.75" customHeight="1">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ht="12.75" customHeight="1">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ht="12.75" customHeight="1">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ht="12.75" customHeight="1">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ht="12.75" customHeight="1">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ht="12.75" customHeight="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ht="12.75" customHeight="1">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ht="12.75" customHeight="1">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ht="12.75" customHeight="1">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ht="12.75" customHeight="1">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ht="12.75" customHeight="1">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ht="12.75" customHeight="1">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ht="12.75" customHeight="1">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ht="12.75" customHeight="1">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ht="12.75" customHeight="1">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ht="12.75" customHeight="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ht="12.75" customHeight="1">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ht="12.75" customHeight="1">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ht="12.75" customHeight="1">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ht="12.75" customHeight="1">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ht="12.75" customHeight="1">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ht="12.75" customHeight="1">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ht="12.75" customHeight="1">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ht="12.75" customHeight="1">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ht="12.75" customHeight="1">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ht="12.75" customHeight="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ht="12.75" customHeight="1">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ht="12.75" customHeight="1">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ht="12.75" customHeight="1">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ht="12.75" customHeight="1">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ht="12.75" customHeight="1">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ht="12.75" customHeight="1">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ht="12.75" customHeight="1">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ht="12.75" customHeight="1">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ht="12.75" customHeight="1">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ht="12.75" customHeight="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ht="12.75" customHeight="1">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ht="12.75" customHeight="1">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ht="12.75" customHeight="1">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ht="12.75" customHeight="1">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ht="12.75" customHeight="1">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ht="12.75" customHeight="1">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ht="12.75" customHeight="1">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ht="12.75" customHeight="1">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ht="12.75" customHeight="1">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ht="12.75" customHeight="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ht="12.75" customHeight="1">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ht="12.75" customHeight="1">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ht="12.75" customHeight="1">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ht="12.75" customHeight="1">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ht="12.75" customHeight="1">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ht="12.75" customHeight="1">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ht="12.75" customHeight="1">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ht="12.75" customHeight="1">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ht="12.75" customHeight="1">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ht="12.75" customHeight="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ht="12.75" customHeight="1">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ht="12.75" customHeight="1">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ht="12.75" customHeight="1">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ht="12.75" customHeight="1">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ht="12.75" customHeight="1">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ht="12.75" customHeight="1">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ht="12.75" customHeight="1">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ht="12.75" customHeight="1">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ht="12.75" customHeight="1">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ht="12.75" customHeight="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ht="12.75" customHeight="1">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ht="12.75" customHeight="1">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ht="12.75" customHeight="1">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ht="12.75" customHeight="1">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ht="12.75" customHeight="1">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ht="12.75" customHeight="1">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ht="12.75" customHeight="1">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ht="12.75" customHeight="1">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ht="12.75" customHeight="1">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ht="12.75" customHeight="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ht="12.75" customHeight="1">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ht="12.75" customHeight="1">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ht="12.75" customHeight="1">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ht="12.75" customHeight="1">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ht="12.75" customHeight="1">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ht="12.75" customHeight="1">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ht="12.75" customHeight="1">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ht="12.75" customHeight="1">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ht="12.75" customHeight="1">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ht="12.75" customHeight="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ht="12.75" customHeight="1">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ht="12.75" customHeight="1">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ht="12.75" customHeight="1">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ht="12.75" customHeight="1">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ht="12.75" customHeight="1">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ht="12.75" customHeight="1">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ht="12.75" customHeight="1">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ht="12.75" customHeight="1">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ht="12.75" customHeight="1">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ht="12.75" customHeight="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ht="12.75" customHeight="1">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ht="12.75" customHeight="1">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ht="12.75" customHeight="1">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ht="12.75" customHeight="1">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ht="12.75" customHeight="1">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ht="12.75" customHeight="1">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ht="12.75" customHeight="1">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ht="12.75" customHeight="1">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ht="12.75" customHeight="1">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ht="12.75" customHeight="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ht="12.75" customHeight="1">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ht="12.75" customHeight="1">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ht="12.75" customHeight="1">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ht="12.75" customHeight="1">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ht="12.75" customHeight="1">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ht="12.75" customHeight="1">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ht="12.75" customHeight="1">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ht="12.75" customHeight="1">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ht="12.75" customHeight="1">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ht="12.75" customHeight="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ht="12.75" customHeight="1">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ht="12.75" customHeight="1">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ht="12.75" customHeight="1">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ht="12.75" customHeight="1">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ht="12.75" customHeight="1">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ht="12.75" customHeight="1">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ht="12.75" customHeight="1">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ht="12.75" customHeight="1">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ht="12.75" customHeight="1">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ht="12.75" customHeight="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ht="12.75" customHeight="1">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ht="12.75" customHeight="1">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ht="12.75" customHeight="1">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ht="12.75" customHeight="1">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ht="12.75" customHeight="1">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ht="12.75" customHeight="1">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ht="12.75" customHeight="1">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ht="12.75" customHeight="1">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ht="12.75" customHeight="1">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ht="12.75" customHeight="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ht="12.75" customHeight="1">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ht="12.75" customHeight="1">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ht="12.75" customHeight="1">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ht="12.75" customHeight="1">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ht="12.75" customHeight="1">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ht="12.75" customHeight="1">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ht="12.75" customHeight="1">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ht="12.75" customHeight="1">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ht="12.75" customHeight="1">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ht="12.75" customHeight="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ht="12.75" customHeight="1">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ht="12.75" customHeight="1">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ht="12.75" customHeight="1">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ht="12.75" customHeight="1">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ht="12.75" customHeight="1">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ht="12.75" customHeight="1">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ht="12.75" customHeight="1">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ht="12.75" customHeight="1">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ht="12.75" customHeight="1">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ht="12.75" customHeight="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ht="12.75" customHeight="1">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ht="12.75" customHeight="1">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ht="12.75" customHeight="1">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ht="12.75" customHeight="1">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ht="12.75" customHeight="1">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ht="12.75" customHeight="1">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ht="12.75" customHeight="1">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ht="12.75" customHeight="1">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ht="12.75" customHeight="1">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ht="12.75" customHeight="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ht="12.75" customHeight="1">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ht="12.75" customHeight="1">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ht="12.75" customHeight="1">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ht="12.75" customHeight="1">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ht="12.75" customHeight="1">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ht="12.75" customHeight="1">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ht="12.75" customHeight="1">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ht="12.75" customHeight="1">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ht="12.75" customHeight="1">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ht="12.75" customHeight="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ht="12.75" customHeight="1">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ht="12.75" customHeight="1">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ht="12.75" customHeight="1">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ht="12.75" customHeight="1">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ht="12.75" customHeight="1">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ht="12.75" customHeight="1">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ht="12.75" customHeight="1">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ht="12.75" customHeight="1">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ht="12.75" customHeight="1">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ht="12.75" customHeight="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ht="12.75" customHeight="1">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ht="12.75" customHeight="1">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ht="12.75" customHeight="1">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ht="12.75" customHeight="1">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ht="12.75" customHeight="1">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ht="12.75" customHeight="1">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ht="12.75" customHeight="1">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ht="12.75" customHeight="1">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ht="12.75" customHeight="1">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ht="12.75" customHeight="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ht="12.75" customHeight="1">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ht="12.75" customHeight="1">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ht="12.75" customHeight="1">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ht="12.75" customHeight="1">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ht="12.75" customHeight="1">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ht="12.75" customHeight="1">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ht="12.75" customHeight="1">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ht="12.75" customHeight="1">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ht="12.75" customHeight="1">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ht="12.75" customHeight="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ht="12.75" customHeight="1">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ht="12.75" customHeight="1">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ht="12.75" customHeight="1">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ht="12.75" customHeight="1">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ht="12.75" customHeight="1">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ht="12.75" customHeight="1">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ht="12.75" customHeight="1">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ht="12.75" customHeight="1">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ht="12.75" customHeight="1">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ht="12.75" customHeight="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ht="12.75" customHeight="1">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ht="12.75" customHeight="1">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ht="12.75" customHeight="1">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ht="12.75" customHeight="1">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ht="12.75" customHeight="1">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ht="12.75" customHeight="1">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ht="12.75" customHeight="1">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ht="12.75" customHeight="1">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ht="12.75" customHeight="1">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ht="12.75" customHeight="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ht="12.75" customHeight="1">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ht="12.75" customHeight="1">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ht="12.75" customHeight="1">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ht="12.75" customHeight="1">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ht="12.75" customHeight="1">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ht="12.75" customHeight="1">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ht="12.75" customHeight="1">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ht="12.75" customHeight="1">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ht="12.75" customHeight="1">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ht="12.75" customHeight="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ht="12.75" customHeight="1">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ht="12.75" customHeight="1">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ht="12.75" customHeight="1">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ht="12.75" customHeight="1">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ht="12.75" customHeight="1">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ht="12.75" customHeight="1">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ht="12.75" customHeight="1">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ht="12.75" customHeight="1">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ht="12.75" customHeight="1">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ht="12.75" customHeight="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ht="12.75" customHeight="1">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ht="12.75" customHeight="1">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ht="12.75" customHeight="1">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ht="12.75" customHeight="1">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ht="12.75" customHeight="1">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ht="12.75" customHeight="1">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ht="12.75" customHeight="1">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ht="12.75" customHeight="1">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ht="12.75" customHeight="1">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ht="12.75" customHeight="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ht="12.75" customHeight="1">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ht="12.75" customHeight="1">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ht="12.75" customHeight="1">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ht="12.75" customHeight="1">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ht="12.75" customHeight="1">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ht="12.75" customHeight="1">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ht="12.75" customHeight="1">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ht="12.75" customHeight="1">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ht="12.75" customHeight="1">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ht="12.75" customHeight="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ht="12.75" customHeight="1">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ht="12.75" customHeight="1">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ht="12.75" customHeight="1">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ht="12.75" customHeight="1">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ht="12.75" customHeight="1">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ht="12.75" customHeight="1">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ht="12.75" customHeight="1">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ht="12.75" customHeight="1">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ht="12.75" customHeight="1">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ht="12.75" customHeight="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ht="12.75" customHeight="1">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ht="12.75" customHeight="1">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ht="12.75" customHeight="1">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ht="12.75" customHeight="1">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ht="12.75" customHeight="1">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ht="12.75" customHeight="1">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ht="12.75" customHeight="1">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ht="12.75" customHeight="1">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ht="12.75" customHeight="1">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ht="12.75" customHeight="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ht="12.75" customHeight="1">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ht="12.75" customHeight="1">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ht="12.75" customHeight="1">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ht="12.75" customHeight="1">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ht="12.75" customHeight="1">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ht="12.75" customHeight="1">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ht="12.75" customHeight="1">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ht="12.75" customHeight="1">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ht="12.75" customHeight="1">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ht="12.75" customHeight="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ht="12.75" customHeight="1">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ht="12.75" customHeight="1">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ht="12.75" customHeight="1">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ht="12.75" customHeight="1">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ht="12.75" customHeight="1">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ht="12.75" customHeight="1">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ht="12.75" customHeight="1">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ht="12.75" customHeight="1">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ht="12.75" customHeight="1">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ht="12.75" customHeight="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ht="12.75" customHeight="1">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ht="12.75" customHeight="1">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ht="12.75" customHeight="1">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ht="12.75" customHeight="1">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ht="12.75" customHeight="1">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ht="12.75" customHeight="1">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ht="12.75" customHeight="1">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ht="12.75" customHeight="1">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ht="12.75" customHeight="1">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ht="12.75" customHeight="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ht="12.75" customHeight="1">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ht="12.75" customHeight="1">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ht="12.75" customHeight="1">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ht="12.75" customHeight="1">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ht="12.75" customHeight="1">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ht="12.75" customHeight="1">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ht="12.75" customHeight="1">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ht="12.75" customHeight="1">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ht="12.75" customHeight="1">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ht="12.75" customHeight="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ht="12.75" customHeight="1">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ht="12.75" customHeight="1">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ht="12.75" customHeight="1">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ht="12.75" customHeight="1">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ht="12.75" customHeight="1">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ht="12.75" customHeight="1">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ht="12.75" customHeight="1">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ht="12.75" customHeight="1">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ht="12.75" customHeight="1">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ht="12.75" customHeight="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ht="12.75" customHeight="1">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ht="12.75" customHeight="1">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ht="12.75" customHeight="1">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ht="12.75" customHeight="1">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ht="12.75" customHeight="1">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ht="12.75" customHeight="1">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ht="12.75" customHeight="1">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ht="12.75" customHeight="1">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ht="12.75" customHeight="1">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ht="12.75" customHeight="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ht="12.75" customHeight="1">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ht="12.75" customHeight="1">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ht="12.75" customHeight="1">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ht="12.75" customHeight="1">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ht="12.75" customHeight="1">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ht="12.75" customHeight="1">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ht="12.75" customHeight="1">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ht="12.75" customHeight="1">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ht="12.75" customHeight="1">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ht="12.75" customHeight="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ht="12.75" customHeight="1">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ht="12.75" customHeight="1">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ht="12.75" customHeight="1">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ht="12.75" customHeight="1">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ht="12.75" customHeight="1">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ht="12.75" customHeight="1">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ht="12.75" customHeight="1">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ht="12.75" customHeight="1">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ht="12.75" customHeight="1">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ht="12.75" customHeight="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ht="12.75" customHeight="1">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ht="12.75" customHeight="1">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ht="12.75" customHeight="1">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ht="12.75" customHeight="1">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ht="12.75" customHeight="1">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ht="12.75" customHeight="1">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ht="12.75" customHeight="1">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ht="12.75" customHeight="1">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ht="12.75" customHeight="1">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ht="12.75" customHeight="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ht="12.75" customHeight="1">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ht="12.75" customHeight="1">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ht="12.75" customHeight="1">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ht="12.75" customHeight="1">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ht="12.75" customHeight="1">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ht="12.75" customHeight="1">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ht="12.75" customHeight="1">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ht="12.75" customHeight="1">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ht="12.75" customHeight="1">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ht="12.75" customHeight="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ht="12.75" customHeight="1">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ht="12.75" customHeight="1">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ht="12.75" customHeight="1">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ht="12.75" customHeight="1">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ht="12.75" customHeight="1">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ht="12.75" customHeight="1">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ht="12.75" customHeight="1">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ht="12.75" customHeight="1">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ht="12.75" customHeight="1">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ht="12.75" customHeight="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ht="12.75" customHeight="1">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ht="12.75" customHeight="1">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ht="12.75" customHeight="1">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ht="12.75" customHeight="1">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ht="12.75" customHeight="1">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ht="12.75" customHeight="1">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ht="12.75" customHeight="1">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ht="12.75" customHeight="1">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ht="12.75" customHeight="1">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ht="12.75" customHeight="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ht="12.75" customHeight="1">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ht="12.75" customHeight="1">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ht="12.75" customHeight="1">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ht="12.75" customHeight="1">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ht="12.75" customHeight="1">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ht="12.75" customHeight="1">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ht="12.75" customHeight="1">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ht="12.75" customHeight="1">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ht="12.75" customHeight="1">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ht="12.75" customHeight="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ht="12.75" customHeight="1">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ht="12.75" customHeight="1">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ht="12.75" customHeight="1">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ht="12.75" customHeight="1">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ht="12.75" customHeight="1">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ht="12.75" customHeight="1">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ht="12.75" customHeight="1">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ht="12.75" customHeight="1">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ht="12.75" customHeight="1">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ht="12.75" customHeight="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ht="12.75" customHeight="1">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ht="12.75" customHeight="1">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ht="12.75" customHeight="1">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ht="12.75" customHeight="1">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ht="12.75" customHeight="1">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ht="12.75" customHeight="1">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ht="12.75" customHeight="1">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ht="12.75" customHeight="1">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ht="12.75" customHeight="1">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ht="12.75" customHeight="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ht="12.75" customHeight="1">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ht="12.75" customHeight="1">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ht="12.75" customHeight="1">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ht="12.75" customHeight="1">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ht="12.75" customHeight="1">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ht="12.75" customHeight="1">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ht="12.75" customHeight="1">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ht="12.75" customHeight="1">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ht="12.75" customHeight="1">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ht="12.75" customHeight="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ht="12.75" customHeight="1">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ht="12.75" customHeight="1">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ht="12.75" customHeight="1">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ht="12.75" customHeight="1">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ht="12.75" customHeight="1">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ht="12.75" customHeight="1">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ht="12.75" customHeight="1">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ht="12.75" customHeight="1">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ht="12.75" customHeight="1">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ht="12.75" customHeight="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ht="12.75" customHeight="1">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ht="12.75" customHeight="1">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ht="12.75" customHeight="1">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ht="12.75" customHeight="1">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ht="12.75" customHeight="1">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ht="12.75" customHeight="1">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ht="12.75" customHeight="1">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ht="12.75" customHeight="1">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ht="12.75" customHeight="1">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ht="12.75" customHeight="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ht="12.75" customHeight="1">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ht="12.75" customHeight="1">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ht="12.75" customHeight="1">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ht="12.75" customHeight="1">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ht="12.75" customHeight="1">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ht="12.75" customHeight="1">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ht="12.75" customHeight="1">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ht="12.75" customHeight="1">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ht="12.75" customHeight="1">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ht="12.75" customHeight="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ht="12.75" customHeight="1">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ht="12.75" customHeight="1">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ht="12.75" customHeight="1">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ht="12.75" customHeight="1">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ht="12.75" customHeight="1">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ht="12.75" customHeight="1">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ht="12.75" customHeight="1">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ht="12.75" customHeight="1">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ht="12.75" customHeight="1">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ht="12.75" customHeight="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ht="12.75" customHeight="1">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ht="12.75" customHeight="1">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ht="12.75" customHeight="1">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ht="12.75" customHeight="1">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ht="12.75" customHeight="1">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ht="12.75" customHeight="1">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ht="12.75" customHeight="1">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ht="12.75" customHeight="1">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ht="12.75" customHeight="1">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ht="12.75" customHeight="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ht="12.75" customHeight="1">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ht="12.75" customHeight="1">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ht="12.75" customHeight="1">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ht="12.75" customHeight="1">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ht="12.75" customHeight="1">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ht="12.75" customHeight="1">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ht="12.75" customHeight="1">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ht="12.75" customHeight="1">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ht="12.75" customHeight="1">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ht="12.75" customHeight="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ht="12.75" customHeight="1">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ht="12.75" customHeight="1">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ht="12.75" customHeight="1">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ht="12.75" customHeight="1">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ht="12.75" customHeight="1">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ht="12.75" customHeight="1">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ht="12.75" customHeight="1">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ht="12.75" customHeight="1">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ht="12.75" customHeight="1">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ht="12.75" customHeight="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ht="12.75" customHeight="1">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ht="12.75" customHeight="1">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ht="12.75" customHeight="1">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ht="12.75" customHeight="1">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ht="12.75" customHeight="1">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ht="12.75" customHeight="1">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ht="12.75" customHeight="1">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ht="12.75" customHeight="1">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ht="12.75" customHeight="1">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ht="12.75" customHeight="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ht="12.75" customHeight="1">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ht="12.75" customHeight="1">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ht="12.75" customHeight="1">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ht="12.75" customHeight="1">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ht="12.75" customHeight="1">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ht="12.75" customHeight="1">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ht="12.75" customHeight="1">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ht="12.75" customHeight="1">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ht="12.75" customHeight="1">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ht="12.75" customHeight="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ht="12.75" customHeight="1">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ht="12.75" customHeight="1">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ht="12.75" customHeight="1">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ht="12.75" customHeight="1">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ht="12.75" customHeight="1">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ht="12.75" customHeight="1">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ht="12.75" customHeight="1">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ht="12.75" customHeight="1">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ht="12.75" customHeight="1">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ht="12.75" customHeight="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ht="12.75" customHeight="1">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ht="12.75" customHeight="1">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ht="12.75" customHeight="1">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ht="12.75" customHeight="1">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ht="12.75" customHeight="1">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ht="12.75" customHeight="1">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ht="12.75" customHeight="1">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ht="12.75" customHeight="1">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ht="12.75" customHeight="1">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ht="12.75" customHeight="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ht="12.75" customHeight="1">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ht="12.75" customHeight="1">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ht="12.75" customHeight="1">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ht="12.75" customHeight="1">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ht="12.75" customHeight="1">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ht="12.75" customHeight="1">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ht="12.75" customHeight="1">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ht="12.75" customHeight="1">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ht="12.75" customHeight="1">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ht="12.75" customHeight="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ht="12.75" customHeight="1">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ht="12.75" customHeight="1">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ht="12.75" customHeight="1">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ht="12.75" customHeight="1">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ht="12.75" customHeight="1">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ht="12.75" customHeight="1">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ht="12.75" customHeight="1">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ht="12.75" customHeight="1">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ht="12.75" customHeight="1">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ht="12.75" customHeight="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ht="12.75" customHeight="1">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ht="12.75" customHeight="1">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ht="12.75" customHeight="1">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ht="12.75" customHeight="1">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ht="12.75" customHeight="1">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ht="12.75" customHeight="1">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ht="12.75" customHeight="1">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ht="12.75" customHeight="1">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ht="12.75" customHeight="1">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ht="12.75" customHeight="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ht="12.75" customHeight="1">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ht="12.75" customHeight="1">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ht="12.75" customHeight="1">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ht="12.75" customHeight="1">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ht="12.75" customHeight="1">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ht="12.75" customHeight="1">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ht="12.75" customHeight="1">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ht="12.75" customHeight="1">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ht="12.75" customHeight="1">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ht="12.75" customHeight="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ht="12.75" customHeight="1">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ht="12.75" customHeight="1">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ht="12.75" customHeight="1">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ht="12.75" customHeight="1">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ht="12.75" customHeight="1">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ht="12.75" customHeight="1">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ht="12.75" customHeight="1">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ht="12.75" customHeight="1">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ht="12.75" customHeight="1">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ht="12.75" customHeight="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ht="12.75" customHeight="1">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ht="12.75" customHeight="1">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ht="12.75" customHeight="1">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ht="12.75" customHeight="1">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ht="12.75" customHeight="1">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ht="12.75" customHeight="1">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ht="12.75" customHeight="1">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ht="12.75" customHeight="1">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ht="12.75" customHeight="1">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ht="12.75" customHeight="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ht="12.75" customHeight="1">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ht="12.75" customHeight="1">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ht="12.75" customHeight="1">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ht="12.75" customHeight="1">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ht="12.75" customHeight="1">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ht="12.75" customHeight="1">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ht="12.75" customHeight="1">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ht="12.75" customHeight="1">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ht="12.75" customHeight="1">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ht="12.75" customHeight="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ht="12.75" customHeight="1">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ht="12.75" customHeight="1">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ht="12.75" customHeight="1">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ht="12.75" customHeight="1">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ht="12.75" customHeight="1">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ht="12.75" customHeight="1">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ht="12.75" customHeight="1">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ht="12.75" customHeight="1">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ht="12.75" customHeight="1">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ht="12.75" customHeight="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ht="12.75" customHeight="1">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ht="12.75" customHeight="1">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ht="12.75" customHeight="1">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ht="12.75" customHeight="1">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ht="12.75" customHeight="1">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ht="12.75" customHeight="1">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ht="12.75" customHeight="1">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ht="12.75" customHeight="1">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ht="12.75" customHeight="1">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ht="12.75" customHeight="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ht="12.75" customHeight="1">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ht="12.75" customHeight="1">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ht="12.75" customHeight="1">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ht="12.75" customHeight="1">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ht="12.75" customHeight="1">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ht="12.75" customHeight="1">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ht="12.75" customHeight="1">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ht="12.75" customHeight="1">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ht="12.75" customHeight="1">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ht="12.75" customHeight="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ht="12.75" customHeight="1">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ht="12.75" customHeight="1">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ht="12.75" customHeight="1">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ht="12.75" customHeight="1">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ht="12.75" customHeight="1">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ht="12.75" customHeight="1">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ht="12.75" customHeight="1">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ht="12.75" customHeight="1">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ht="12.75" customHeight="1">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ht="12.75" customHeight="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ht="12.75" customHeight="1">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ht="12.75" customHeight="1">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ht="12.75" customHeight="1">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ht="12.75" customHeight="1">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ht="12.75" customHeight="1">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ht="12.75" customHeight="1">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ht="12.75" customHeight="1">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ht="12.75" customHeight="1">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ht="12.75" customHeight="1">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ht="12.75" customHeight="1">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ht="12.75" customHeight="1">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ht="12.75" customHeight="1">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ht="12.75" customHeight="1">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ht="12.75" customHeight="1">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ht="12.75" customHeight="1">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ht="12.75" customHeight="1">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row r="998" ht="12.75" customHeight="1">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row>
    <row r="999" ht="12.75" customHeight="1">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row>
    <row r="1000" ht="12.75" customHeight="1">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row>
  </sheetData>
  <mergeCells count="51">
    <mergeCell ref="C23:D23"/>
    <mergeCell ref="C24:D24"/>
    <mergeCell ref="C25:D25"/>
    <mergeCell ref="C26:D26"/>
    <mergeCell ref="C27:D27"/>
    <mergeCell ref="B34:C34"/>
    <mergeCell ref="F34:G34"/>
    <mergeCell ref="B16:C16"/>
    <mergeCell ref="B17:C17"/>
    <mergeCell ref="I17:J17"/>
    <mergeCell ref="B18:C18"/>
    <mergeCell ref="B19:C19"/>
    <mergeCell ref="B21:C21"/>
    <mergeCell ref="C22:D22"/>
    <mergeCell ref="P4:P5"/>
    <mergeCell ref="R4:R5"/>
    <mergeCell ref="S4:S5"/>
    <mergeCell ref="T4:T5"/>
    <mergeCell ref="U4:U5"/>
    <mergeCell ref="B2:D4"/>
    <mergeCell ref="E2:F4"/>
    <mergeCell ref="G2:G4"/>
    <mergeCell ref="H2:H4"/>
    <mergeCell ref="K2:L2"/>
    <mergeCell ref="M4:M5"/>
    <mergeCell ref="O4:O5"/>
    <mergeCell ref="T7:T8"/>
    <mergeCell ref="U7:U8"/>
    <mergeCell ref="B6:D7"/>
    <mergeCell ref="E6:H7"/>
    <mergeCell ref="M7:M8"/>
    <mergeCell ref="O7:O8"/>
    <mergeCell ref="P7:P8"/>
    <mergeCell ref="R7:R8"/>
    <mergeCell ref="S7:S8"/>
    <mergeCell ref="T10:T11"/>
    <mergeCell ref="U10:U11"/>
    <mergeCell ref="B9:C9"/>
    <mergeCell ref="B10:C10"/>
    <mergeCell ref="M10:M11"/>
    <mergeCell ref="O10:O11"/>
    <mergeCell ref="P10:P11"/>
    <mergeCell ref="R10:R11"/>
    <mergeCell ref="S10:S11"/>
    <mergeCell ref="B11:C11"/>
    <mergeCell ref="B12:C12"/>
    <mergeCell ref="B13:C13"/>
    <mergeCell ref="I13:J13"/>
    <mergeCell ref="B14:C14"/>
    <mergeCell ref="B15:C15"/>
    <mergeCell ref="M15:N15"/>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2.75" customHeight="1">
      <c r="A1" s="76"/>
      <c r="B1" s="76"/>
      <c r="C1" s="76"/>
      <c r="D1" s="76"/>
      <c r="E1" s="76"/>
      <c r="F1" s="76"/>
      <c r="G1" s="76"/>
      <c r="H1" s="76"/>
      <c r="I1" s="76"/>
      <c r="J1" s="76"/>
      <c r="K1" s="76"/>
      <c r="L1" s="76"/>
      <c r="M1" s="76"/>
      <c r="N1" s="76"/>
      <c r="O1" s="76"/>
      <c r="P1" s="76"/>
      <c r="Q1" s="76"/>
      <c r="R1" s="76"/>
      <c r="S1" s="76"/>
      <c r="T1" s="76"/>
      <c r="U1" s="76"/>
      <c r="V1" s="76"/>
      <c r="W1" s="76"/>
      <c r="X1" s="76"/>
      <c r="Y1" s="76"/>
      <c r="Z1" s="76"/>
    </row>
    <row r="2" ht="12.75" customHeight="1">
      <c r="A2" s="76"/>
      <c r="B2" s="76"/>
      <c r="C2" s="76"/>
      <c r="D2" s="76"/>
      <c r="E2" s="76"/>
      <c r="F2" s="76"/>
      <c r="G2" s="76"/>
      <c r="H2" s="76"/>
      <c r="I2" s="76"/>
      <c r="J2" s="154" t="s">
        <v>348</v>
      </c>
      <c r="K2" s="155">
        <f>SUM(K7:K22,K25:K43)</f>
        <v>0</v>
      </c>
      <c r="L2" s="76"/>
      <c r="M2" s="76"/>
      <c r="N2" s="76"/>
      <c r="O2" s="76"/>
      <c r="P2" s="76"/>
      <c r="Q2" s="76"/>
      <c r="R2" s="76"/>
      <c r="S2" s="76"/>
      <c r="T2" s="76"/>
      <c r="U2" s="76"/>
      <c r="V2" s="76"/>
      <c r="W2" s="76"/>
      <c r="X2" s="76"/>
      <c r="Y2" s="76"/>
      <c r="Z2" s="76"/>
    </row>
    <row r="3" ht="12.75" customHeight="1">
      <c r="A3" s="76"/>
      <c r="B3" s="76"/>
      <c r="C3" s="76"/>
      <c r="D3" s="76"/>
      <c r="E3" s="76"/>
      <c r="F3" s="76"/>
      <c r="G3" s="76"/>
      <c r="H3" s="76"/>
      <c r="I3" s="76"/>
      <c r="J3" s="76"/>
      <c r="K3" s="76"/>
      <c r="L3" s="76"/>
      <c r="M3" s="76"/>
      <c r="N3" s="76"/>
      <c r="O3" s="76"/>
      <c r="P3" s="76"/>
      <c r="Q3" s="76"/>
      <c r="R3" s="76"/>
      <c r="S3" s="76"/>
      <c r="T3" s="76"/>
      <c r="U3" s="76"/>
      <c r="V3" s="76"/>
      <c r="W3" s="76"/>
      <c r="X3" s="76"/>
      <c r="Y3" s="76"/>
      <c r="Z3" s="76"/>
    </row>
    <row r="4" ht="12.75" customHeight="1">
      <c r="A4" s="138" t="s">
        <v>349</v>
      </c>
      <c r="B4" s="100"/>
      <c r="C4" s="100"/>
      <c r="D4" s="100"/>
      <c r="E4" s="100"/>
      <c r="F4" s="100"/>
      <c r="G4" s="100"/>
      <c r="H4" s="100"/>
      <c r="I4" s="100"/>
      <c r="J4" s="100"/>
      <c r="K4" s="100"/>
      <c r="L4" s="100"/>
      <c r="M4" s="100"/>
      <c r="N4" s="100"/>
      <c r="O4" s="101"/>
      <c r="P4" s="76"/>
      <c r="Q4" s="76"/>
      <c r="R4" s="76"/>
      <c r="S4" s="76"/>
      <c r="T4" s="76"/>
      <c r="U4" s="76"/>
      <c r="V4" s="76"/>
      <c r="W4" s="76"/>
      <c r="X4" s="76"/>
      <c r="Y4" s="76"/>
      <c r="Z4" s="76"/>
    </row>
    <row r="5" ht="12.75" customHeight="1">
      <c r="A5" s="156"/>
      <c r="B5" s="76"/>
      <c r="C5" s="76"/>
      <c r="D5" s="76"/>
      <c r="E5" s="76"/>
      <c r="F5" s="76"/>
      <c r="G5" s="76"/>
      <c r="H5" s="76"/>
      <c r="I5" s="76"/>
      <c r="J5" s="76"/>
      <c r="K5" s="76"/>
      <c r="L5" s="157" t="s">
        <v>350</v>
      </c>
      <c r="M5" s="158"/>
      <c r="N5" s="158"/>
      <c r="O5" s="159"/>
      <c r="P5" s="76"/>
      <c r="Q5" s="76"/>
      <c r="R5" s="76"/>
      <c r="S5" s="76"/>
      <c r="T5" s="76"/>
      <c r="U5" s="76"/>
      <c r="V5" s="76"/>
      <c r="W5" s="76"/>
      <c r="X5" s="76"/>
      <c r="Y5" s="76"/>
      <c r="Z5" s="76"/>
    </row>
    <row r="6" ht="12.75" customHeight="1">
      <c r="A6" s="143" t="s">
        <v>281</v>
      </c>
      <c r="B6" s="116"/>
      <c r="C6" s="116"/>
      <c r="D6" s="160" t="s">
        <v>351</v>
      </c>
      <c r="E6" s="116"/>
      <c r="F6" s="160" t="s">
        <v>352</v>
      </c>
      <c r="G6" s="160" t="s">
        <v>353</v>
      </c>
      <c r="H6" s="160" t="s">
        <v>5</v>
      </c>
      <c r="I6" s="160" t="s">
        <v>354</v>
      </c>
      <c r="J6" s="160" t="s">
        <v>4</v>
      </c>
      <c r="K6" s="160" t="s">
        <v>355</v>
      </c>
      <c r="L6" s="161" t="s">
        <v>356</v>
      </c>
      <c r="M6" s="160" t="s">
        <v>65</v>
      </c>
      <c r="N6" s="160" t="s">
        <v>357</v>
      </c>
      <c r="O6" s="162" t="s">
        <v>358</v>
      </c>
      <c r="P6" s="76"/>
      <c r="Q6" s="76"/>
      <c r="R6" s="76"/>
      <c r="S6" s="76"/>
      <c r="T6" s="76"/>
      <c r="U6" s="76"/>
      <c r="V6" s="76"/>
      <c r="W6" s="76"/>
      <c r="X6" s="76"/>
      <c r="Y6" s="76"/>
      <c r="Z6" s="76"/>
    </row>
    <row r="7" ht="12.75" customHeight="1">
      <c r="A7" s="156"/>
      <c r="B7" s="76"/>
      <c r="C7" s="76"/>
      <c r="D7" s="76"/>
      <c r="E7" s="76"/>
      <c r="F7" s="76"/>
      <c r="G7" s="76"/>
      <c r="H7" s="76"/>
      <c r="I7" s="76"/>
      <c r="J7" s="76"/>
      <c r="K7" s="76"/>
      <c r="L7" s="163"/>
      <c r="M7" s="76"/>
      <c r="N7" s="76"/>
      <c r="O7" s="164"/>
      <c r="P7" s="76"/>
      <c r="Q7" s="76"/>
      <c r="R7" s="76"/>
      <c r="S7" s="76"/>
      <c r="T7" s="76"/>
      <c r="U7" s="76"/>
      <c r="V7" s="76"/>
      <c r="W7" s="76"/>
      <c r="X7" s="76"/>
      <c r="Y7" s="76"/>
      <c r="Z7" s="76"/>
    </row>
    <row r="8" ht="12.75" customHeight="1">
      <c r="A8" s="156"/>
      <c r="B8" s="76"/>
      <c r="C8" s="76"/>
      <c r="D8" s="76"/>
      <c r="E8" s="76"/>
      <c r="F8" s="76"/>
      <c r="G8" s="76"/>
      <c r="H8" s="76"/>
      <c r="I8" s="76"/>
      <c r="J8" s="76"/>
      <c r="K8" s="76"/>
      <c r="L8" s="163"/>
      <c r="M8" s="76"/>
      <c r="N8" s="76"/>
      <c r="O8" s="164"/>
      <c r="P8" s="76"/>
      <c r="Q8" s="76"/>
      <c r="R8" s="76"/>
      <c r="S8" s="76"/>
      <c r="T8" s="76"/>
      <c r="U8" s="76"/>
      <c r="V8" s="76"/>
      <c r="W8" s="76"/>
      <c r="X8" s="76"/>
      <c r="Y8" s="76"/>
      <c r="Z8" s="76"/>
    </row>
    <row r="9" ht="12.75" customHeight="1">
      <c r="A9" s="156"/>
      <c r="B9" s="76"/>
      <c r="C9" s="76"/>
      <c r="D9" s="76"/>
      <c r="E9" s="76"/>
      <c r="F9" s="76"/>
      <c r="G9" s="76"/>
      <c r="H9" s="76"/>
      <c r="I9" s="76"/>
      <c r="J9" s="76"/>
      <c r="K9" s="76"/>
      <c r="L9" s="163"/>
      <c r="M9" s="76"/>
      <c r="N9" s="76"/>
      <c r="O9" s="164"/>
      <c r="P9" s="76"/>
      <c r="Q9" s="76"/>
      <c r="R9" s="76"/>
      <c r="S9" s="76"/>
      <c r="T9" s="76"/>
      <c r="U9" s="76"/>
      <c r="V9" s="76"/>
      <c r="W9" s="76"/>
      <c r="X9" s="76"/>
      <c r="Y9" s="76"/>
      <c r="Z9" s="76"/>
    </row>
    <row r="10" ht="12.75" customHeight="1">
      <c r="A10" s="156"/>
      <c r="B10" s="76"/>
      <c r="C10" s="76"/>
      <c r="D10" s="76"/>
      <c r="E10" s="76"/>
      <c r="F10" s="76"/>
      <c r="G10" s="76"/>
      <c r="H10" s="76"/>
      <c r="I10" s="76"/>
      <c r="J10" s="76"/>
      <c r="K10" s="76"/>
      <c r="L10" s="163"/>
      <c r="M10" s="76"/>
      <c r="N10" s="76"/>
      <c r="O10" s="164"/>
      <c r="P10" s="76"/>
      <c r="Q10" s="76"/>
      <c r="R10" s="76"/>
      <c r="S10" s="76"/>
      <c r="T10" s="76"/>
      <c r="U10" s="76"/>
      <c r="V10" s="76"/>
      <c r="W10" s="76"/>
      <c r="X10" s="76"/>
      <c r="Y10" s="76"/>
      <c r="Z10" s="76"/>
    </row>
    <row r="11" ht="12.75" customHeight="1">
      <c r="A11" s="156"/>
      <c r="B11" s="76"/>
      <c r="C11" s="76"/>
      <c r="D11" s="76"/>
      <c r="E11" s="76"/>
      <c r="F11" s="76"/>
      <c r="G11" s="76"/>
      <c r="H11" s="76"/>
      <c r="I11" s="76"/>
      <c r="J11" s="76"/>
      <c r="K11" s="76"/>
      <c r="L11" s="163"/>
      <c r="M11" s="76"/>
      <c r="N11" s="76"/>
      <c r="O11" s="164"/>
      <c r="P11" s="76"/>
      <c r="Q11" s="76"/>
      <c r="R11" s="76"/>
      <c r="S11" s="76"/>
      <c r="T11" s="76"/>
      <c r="U11" s="76"/>
      <c r="V11" s="76"/>
      <c r="W11" s="76"/>
      <c r="X11" s="76"/>
      <c r="Y11" s="76"/>
      <c r="Z11" s="76"/>
    </row>
    <row r="12" ht="12.75" customHeight="1">
      <c r="A12" s="156"/>
      <c r="B12" s="76"/>
      <c r="C12" s="76"/>
      <c r="D12" s="76"/>
      <c r="E12" s="76"/>
      <c r="F12" s="76"/>
      <c r="G12" s="76"/>
      <c r="H12" s="76"/>
      <c r="I12" s="76"/>
      <c r="J12" s="76"/>
      <c r="K12" s="76"/>
      <c r="L12" s="163"/>
      <c r="M12" s="76"/>
      <c r="N12" s="76"/>
      <c r="O12" s="164"/>
      <c r="P12" s="76"/>
      <c r="Q12" s="76"/>
      <c r="R12" s="76"/>
      <c r="S12" s="76"/>
      <c r="T12" s="76"/>
      <c r="U12" s="76"/>
      <c r="V12" s="76"/>
      <c r="W12" s="76"/>
      <c r="X12" s="76"/>
      <c r="Y12" s="76"/>
      <c r="Z12" s="76"/>
    </row>
    <row r="13" ht="12.75" customHeight="1">
      <c r="A13" s="156"/>
      <c r="B13" s="76"/>
      <c r="C13" s="76"/>
      <c r="D13" s="76"/>
      <c r="E13" s="76"/>
      <c r="F13" s="76"/>
      <c r="G13" s="76"/>
      <c r="H13" s="76"/>
      <c r="I13" s="76"/>
      <c r="J13" s="76"/>
      <c r="K13" s="76"/>
      <c r="L13" s="163"/>
      <c r="M13" s="76"/>
      <c r="N13" s="76"/>
      <c r="O13" s="164"/>
      <c r="P13" s="76"/>
      <c r="Q13" s="76"/>
      <c r="R13" s="76"/>
      <c r="S13" s="76"/>
      <c r="T13" s="76"/>
      <c r="U13" s="76"/>
      <c r="V13" s="76"/>
      <c r="W13" s="76"/>
      <c r="X13" s="76"/>
      <c r="Y13" s="76"/>
      <c r="Z13" s="76"/>
    </row>
    <row r="14" ht="12.75" customHeight="1">
      <c r="A14" s="156"/>
      <c r="B14" s="76"/>
      <c r="C14" s="76"/>
      <c r="D14" s="76"/>
      <c r="E14" s="76"/>
      <c r="F14" s="76"/>
      <c r="G14" s="76"/>
      <c r="H14" s="76"/>
      <c r="I14" s="76"/>
      <c r="J14" s="76"/>
      <c r="K14" s="76"/>
      <c r="L14" s="163"/>
      <c r="M14" s="76"/>
      <c r="N14" s="76"/>
      <c r="O14" s="164"/>
      <c r="P14" s="76"/>
      <c r="Q14" s="76"/>
      <c r="R14" s="76"/>
      <c r="S14" s="76"/>
      <c r="T14" s="76"/>
      <c r="U14" s="76"/>
      <c r="V14" s="76"/>
      <c r="W14" s="76"/>
      <c r="X14" s="76"/>
      <c r="Y14" s="76"/>
      <c r="Z14" s="76"/>
    </row>
    <row r="15" ht="12.75" customHeight="1">
      <c r="A15" s="156"/>
      <c r="B15" s="76"/>
      <c r="C15" s="76"/>
      <c r="D15" s="76"/>
      <c r="E15" s="76"/>
      <c r="F15" s="76"/>
      <c r="G15" s="76"/>
      <c r="H15" s="76"/>
      <c r="I15" s="76"/>
      <c r="J15" s="76"/>
      <c r="K15" s="76"/>
      <c r="L15" s="163"/>
      <c r="M15" s="76"/>
      <c r="N15" s="76"/>
      <c r="O15" s="164"/>
      <c r="P15" s="76"/>
      <c r="Q15" s="76"/>
      <c r="R15" s="76"/>
      <c r="S15" s="76"/>
      <c r="T15" s="76"/>
      <c r="U15" s="76"/>
      <c r="V15" s="76"/>
      <c r="W15" s="76"/>
      <c r="X15" s="76"/>
      <c r="Y15" s="76"/>
      <c r="Z15" s="76"/>
    </row>
    <row r="16" ht="12.75" customHeight="1">
      <c r="A16" s="156"/>
      <c r="B16" s="76"/>
      <c r="C16" s="76"/>
      <c r="D16" s="76"/>
      <c r="E16" s="76"/>
      <c r="F16" s="76"/>
      <c r="G16" s="76"/>
      <c r="H16" s="76"/>
      <c r="I16" s="76"/>
      <c r="J16" s="76"/>
      <c r="K16" s="76"/>
      <c r="L16" s="163"/>
      <c r="M16" s="76"/>
      <c r="N16" s="76"/>
      <c r="O16" s="164"/>
      <c r="P16" s="76"/>
      <c r="Q16" s="76"/>
      <c r="R16" s="76"/>
      <c r="S16" s="76"/>
      <c r="T16" s="76"/>
      <c r="U16" s="76"/>
      <c r="V16" s="76"/>
      <c r="W16" s="76"/>
      <c r="X16" s="76"/>
      <c r="Y16" s="76"/>
      <c r="Z16" s="76"/>
    </row>
    <row r="17" ht="12.75" customHeight="1">
      <c r="A17" s="156"/>
      <c r="B17" s="76"/>
      <c r="C17" s="76"/>
      <c r="D17" s="76"/>
      <c r="E17" s="76"/>
      <c r="F17" s="76"/>
      <c r="G17" s="76"/>
      <c r="H17" s="76"/>
      <c r="I17" s="76"/>
      <c r="J17" s="76"/>
      <c r="K17" s="76"/>
      <c r="L17" s="163"/>
      <c r="M17" s="76"/>
      <c r="N17" s="76"/>
      <c r="O17" s="164"/>
      <c r="P17" s="76"/>
      <c r="Q17" s="76"/>
      <c r="R17" s="76"/>
      <c r="S17" s="76"/>
      <c r="T17" s="76"/>
      <c r="U17" s="76"/>
      <c r="V17" s="76"/>
      <c r="W17" s="76"/>
      <c r="X17" s="76"/>
      <c r="Y17" s="76"/>
      <c r="Z17" s="76"/>
    </row>
    <row r="18" ht="12.75" customHeight="1">
      <c r="A18" s="156"/>
      <c r="B18" s="76"/>
      <c r="C18" s="76"/>
      <c r="D18" s="76"/>
      <c r="E18" s="76"/>
      <c r="F18" s="76"/>
      <c r="G18" s="76"/>
      <c r="H18" s="76"/>
      <c r="I18" s="76"/>
      <c r="J18" s="76"/>
      <c r="K18" s="76"/>
      <c r="L18" s="163"/>
      <c r="M18" s="76"/>
      <c r="N18" s="76"/>
      <c r="O18" s="164"/>
      <c r="P18" s="76"/>
      <c r="Q18" s="76"/>
      <c r="R18" s="76"/>
      <c r="S18" s="76"/>
      <c r="T18" s="76"/>
      <c r="U18" s="76"/>
      <c r="V18" s="76"/>
      <c r="W18" s="76"/>
      <c r="X18" s="76"/>
      <c r="Y18" s="76"/>
      <c r="Z18" s="76"/>
    </row>
    <row r="19" ht="12.75" customHeight="1">
      <c r="A19" s="156"/>
      <c r="B19" s="76"/>
      <c r="C19" s="76"/>
      <c r="D19" s="76"/>
      <c r="E19" s="76"/>
      <c r="F19" s="76"/>
      <c r="G19" s="76"/>
      <c r="H19" s="76"/>
      <c r="I19" s="76"/>
      <c r="J19" s="76"/>
      <c r="K19" s="76"/>
      <c r="L19" s="163"/>
      <c r="M19" s="76"/>
      <c r="N19" s="76"/>
      <c r="O19" s="164"/>
      <c r="P19" s="76"/>
      <c r="Q19" s="76"/>
      <c r="R19" s="76"/>
      <c r="S19" s="76"/>
      <c r="T19" s="76"/>
      <c r="U19" s="76"/>
      <c r="V19" s="76"/>
      <c r="W19" s="76"/>
      <c r="X19" s="76"/>
      <c r="Y19" s="76"/>
      <c r="Z19" s="76"/>
    </row>
    <row r="20" ht="12.75" customHeight="1">
      <c r="A20" s="156"/>
      <c r="B20" s="76"/>
      <c r="C20" s="76"/>
      <c r="D20" s="76"/>
      <c r="E20" s="76"/>
      <c r="F20" s="76"/>
      <c r="G20" s="76"/>
      <c r="H20" s="76"/>
      <c r="I20" s="76"/>
      <c r="J20" s="76"/>
      <c r="K20" s="76"/>
      <c r="L20" s="163"/>
      <c r="M20" s="76"/>
      <c r="N20" s="76"/>
      <c r="O20" s="164"/>
      <c r="P20" s="76"/>
      <c r="Q20" s="76"/>
      <c r="R20" s="76"/>
      <c r="S20" s="76"/>
      <c r="T20" s="76"/>
      <c r="U20" s="76"/>
      <c r="V20" s="76"/>
      <c r="W20" s="76"/>
      <c r="X20" s="76"/>
      <c r="Y20" s="76"/>
      <c r="Z20" s="76"/>
    </row>
    <row r="21" ht="12.75" customHeight="1">
      <c r="A21" s="156"/>
      <c r="B21" s="76"/>
      <c r="C21" s="76"/>
      <c r="D21" s="76"/>
      <c r="E21" s="76"/>
      <c r="F21" s="76"/>
      <c r="G21" s="76"/>
      <c r="H21" s="76"/>
      <c r="I21" s="76"/>
      <c r="J21" s="76"/>
      <c r="K21" s="76"/>
      <c r="L21" s="163"/>
      <c r="M21" s="76"/>
      <c r="N21" s="76"/>
      <c r="O21" s="164"/>
      <c r="P21" s="76"/>
      <c r="Q21" s="76"/>
      <c r="R21" s="76"/>
      <c r="S21" s="76"/>
      <c r="T21" s="76"/>
      <c r="U21" s="76"/>
      <c r="V21" s="76"/>
      <c r="W21" s="76"/>
      <c r="X21" s="76"/>
      <c r="Y21" s="76"/>
      <c r="Z21" s="76"/>
    </row>
    <row r="22" ht="12.75" customHeight="1">
      <c r="A22" s="88"/>
      <c r="B22" s="116"/>
      <c r="C22" s="116"/>
      <c r="D22" s="116"/>
      <c r="E22" s="116"/>
      <c r="F22" s="116"/>
      <c r="G22" s="116"/>
      <c r="H22" s="116"/>
      <c r="I22" s="116"/>
      <c r="J22" s="116"/>
      <c r="K22" s="116"/>
      <c r="L22" s="165"/>
      <c r="M22" s="116"/>
      <c r="N22" s="116"/>
      <c r="O22" s="152"/>
      <c r="P22" s="76"/>
      <c r="Q22" s="76"/>
      <c r="R22" s="76"/>
      <c r="S22" s="76"/>
      <c r="T22" s="76"/>
      <c r="U22" s="76"/>
      <c r="V22" s="76"/>
      <c r="W22" s="76"/>
      <c r="X22" s="76"/>
      <c r="Y22" s="76"/>
      <c r="Z22" s="76"/>
    </row>
    <row r="23" ht="14.25" customHeight="1">
      <c r="A23" s="138" t="s">
        <v>359</v>
      </c>
      <c r="B23" s="100"/>
      <c r="C23" s="100"/>
      <c r="D23" s="100"/>
      <c r="E23" s="100"/>
      <c r="F23" s="100"/>
      <c r="G23" s="100"/>
      <c r="H23" s="100"/>
      <c r="I23" s="100"/>
      <c r="J23" s="100"/>
      <c r="K23" s="101"/>
      <c r="L23" s="138" t="s">
        <v>360</v>
      </c>
      <c r="M23" s="100"/>
      <c r="N23" s="100"/>
      <c r="O23" s="101"/>
      <c r="P23" s="76"/>
      <c r="Q23" s="76"/>
      <c r="R23" s="76"/>
      <c r="S23" s="76"/>
      <c r="T23" s="76"/>
      <c r="U23" s="76"/>
      <c r="V23" s="76"/>
      <c r="W23" s="76"/>
      <c r="X23" s="76"/>
      <c r="Y23" s="76"/>
      <c r="Z23" s="76"/>
    </row>
    <row r="24" ht="12.75" customHeight="1">
      <c r="A24" s="143" t="s">
        <v>281</v>
      </c>
      <c r="B24" s="116"/>
      <c r="C24" s="116"/>
      <c r="D24" s="116"/>
      <c r="E24" s="160" t="s">
        <v>244</v>
      </c>
      <c r="F24" s="116"/>
      <c r="G24" s="116"/>
      <c r="H24" s="116"/>
      <c r="I24" s="116"/>
      <c r="J24" s="116"/>
      <c r="K24" s="162" t="s">
        <v>355</v>
      </c>
      <c r="L24" s="143" t="s">
        <v>281</v>
      </c>
      <c r="M24" s="160"/>
      <c r="N24" s="160" t="s">
        <v>361</v>
      </c>
      <c r="O24" s="162"/>
      <c r="P24" s="76"/>
      <c r="Q24" s="76"/>
      <c r="R24" s="76"/>
      <c r="S24" s="76"/>
      <c r="T24" s="76"/>
      <c r="U24" s="76"/>
      <c r="V24" s="76"/>
      <c r="W24" s="76"/>
      <c r="X24" s="76"/>
      <c r="Y24" s="76"/>
      <c r="Z24" s="76"/>
    </row>
    <row r="25" ht="12.75" customHeight="1">
      <c r="A25" s="156"/>
      <c r="B25" s="76"/>
      <c r="C25" s="76"/>
      <c r="D25" s="76"/>
      <c r="E25" s="76"/>
      <c r="F25" s="76"/>
      <c r="G25" s="76"/>
      <c r="H25" s="76"/>
      <c r="I25" s="76"/>
      <c r="J25" s="76"/>
      <c r="K25" s="164"/>
      <c r="L25" s="156"/>
      <c r="M25" s="76"/>
      <c r="N25" s="76"/>
      <c r="O25" s="164"/>
      <c r="P25" s="76"/>
      <c r="Q25" s="76"/>
      <c r="R25" s="76"/>
      <c r="S25" s="76"/>
      <c r="T25" s="76"/>
      <c r="U25" s="76"/>
      <c r="V25" s="76"/>
      <c r="W25" s="76"/>
      <c r="X25" s="76"/>
      <c r="Y25" s="76"/>
      <c r="Z25" s="76"/>
    </row>
    <row r="26" ht="12.75" customHeight="1">
      <c r="A26" s="156"/>
      <c r="B26" s="76"/>
      <c r="C26" s="76"/>
      <c r="D26" s="76"/>
      <c r="E26" s="76"/>
      <c r="F26" s="76"/>
      <c r="G26" s="76"/>
      <c r="H26" s="76"/>
      <c r="I26" s="76"/>
      <c r="J26" s="76"/>
      <c r="K26" s="164"/>
      <c r="L26" s="156"/>
      <c r="M26" s="76"/>
      <c r="N26" s="76"/>
      <c r="O26" s="164"/>
      <c r="P26" s="76"/>
      <c r="Q26" s="76"/>
      <c r="R26" s="76"/>
      <c r="S26" s="76"/>
      <c r="T26" s="76"/>
      <c r="U26" s="76"/>
      <c r="V26" s="76"/>
      <c r="W26" s="76"/>
      <c r="X26" s="76"/>
      <c r="Y26" s="76"/>
      <c r="Z26" s="76"/>
    </row>
    <row r="27" ht="12.75" customHeight="1">
      <c r="A27" s="156"/>
      <c r="B27" s="76"/>
      <c r="C27" s="76"/>
      <c r="D27" s="76"/>
      <c r="E27" s="76"/>
      <c r="F27" s="76"/>
      <c r="G27" s="76"/>
      <c r="H27" s="76"/>
      <c r="I27" s="76"/>
      <c r="J27" s="76"/>
      <c r="K27" s="164"/>
      <c r="L27" s="156"/>
      <c r="M27" s="76"/>
      <c r="N27" s="76"/>
      <c r="O27" s="164"/>
      <c r="P27" s="76"/>
      <c r="Q27" s="76"/>
      <c r="R27" s="76"/>
      <c r="S27" s="76"/>
      <c r="T27" s="76"/>
      <c r="U27" s="76"/>
      <c r="V27" s="76"/>
      <c r="W27" s="76"/>
      <c r="X27" s="76"/>
      <c r="Y27" s="76"/>
      <c r="Z27" s="76"/>
    </row>
    <row r="28" ht="12.75" customHeight="1">
      <c r="A28" s="156"/>
      <c r="B28" s="76"/>
      <c r="C28" s="76"/>
      <c r="D28" s="76"/>
      <c r="E28" s="76"/>
      <c r="F28" s="76"/>
      <c r="G28" s="76"/>
      <c r="H28" s="76"/>
      <c r="I28" s="76"/>
      <c r="J28" s="76"/>
      <c r="K28" s="164"/>
      <c r="L28" s="156"/>
      <c r="M28" s="76"/>
      <c r="N28" s="76"/>
      <c r="O28" s="164"/>
      <c r="P28" s="76"/>
      <c r="Q28" s="76"/>
      <c r="R28" s="76"/>
      <c r="S28" s="76"/>
      <c r="T28" s="76"/>
      <c r="U28" s="76"/>
      <c r="V28" s="76"/>
      <c r="W28" s="76"/>
      <c r="X28" s="76"/>
      <c r="Y28" s="76"/>
      <c r="Z28" s="76"/>
    </row>
    <row r="29" ht="12.75" customHeight="1">
      <c r="A29" s="156"/>
      <c r="B29" s="76"/>
      <c r="C29" s="76"/>
      <c r="D29" s="76"/>
      <c r="E29" s="76"/>
      <c r="F29" s="76"/>
      <c r="G29" s="76"/>
      <c r="H29" s="76"/>
      <c r="I29" s="76"/>
      <c r="J29" s="76"/>
      <c r="K29" s="164"/>
      <c r="L29" s="156"/>
      <c r="M29" s="76"/>
      <c r="N29" s="76"/>
      <c r="O29" s="164"/>
      <c r="P29" s="76"/>
      <c r="Q29" s="76"/>
      <c r="R29" s="76"/>
      <c r="S29" s="76"/>
      <c r="T29" s="76"/>
      <c r="U29" s="76"/>
      <c r="V29" s="76"/>
      <c r="W29" s="76"/>
      <c r="X29" s="76"/>
      <c r="Y29" s="76"/>
      <c r="Z29" s="76"/>
    </row>
    <row r="30" ht="12.75" customHeight="1">
      <c r="A30" s="156"/>
      <c r="B30" s="76"/>
      <c r="C30" s="76"/>
      <c r="D30" s="76"/>
      <c r="E30" s="76"/>
      <c r="F30" s="76"/>
      <c r="G30" s="76"/>
      <c r="H30" s="76"/>
      <c r="I30" s="76"/>
      <c r="J30" s="76"/>
      <c r="K30" s="164"/>
      <c r="L30" s="156"/>
      <c r="M30" s="76"/>
      <c r="N30" s="76"/>
      <c r="O30" s="164"/>
      <c r="P30" s="76"/>
      <c r="Q30" s="76"/>
      <c r="R30" s="76"/>
      <c r="S30" s="76"/>
      <c r="T30" s="76"/>
      <c r="U30" s="76"/>
      <c r="V30" s="76"/>
      <c r="W30" s="76"/>
      <c r="X30" s="76"/>
      <c r="Y30" s="76"/>
      <c r="Z30" s="76"/>
    </row>
    <row r="31" ht="12.75" customHeight="1">
      <c r="A31" s="156"/>
      <c r="B31" s="76"/>
      <c r="C31" s="76"/>
      <c r="D31" s="76"/>
      <c r="E31" s="76"/>
      <c r="F31" s="76"/>
      <c r="G31" s="76"/>
      <c r="H31" s="76"/>
      <c r="I31" s="76"/>
      <c r="J31" s="76"/>
      <c r="K31" s="164"/>
      <c r="L31" s="156"/>
      <c r="M31" s="76"/>
      <c r="N31" s="76"/>
      <c r="O31" s="164"/>
      <c r="P31" s="76"/>
      <c r="Q31" s="76"/>
      <c r="R31" s="76"/>
      <c r="S31" s="76"/>
      <c r="T31" s="76"/>
      <c r="U31" s="76"/>
      <c r="V31" s="76"/>
      <c r="W31" s="76"/>
      <c r="X31" s="76"/>
      <c r="Y31" s="76"/>
      <c r="Z31" s="76"/>
    </row>
    <row r="32" ht="12.75" customHeight="1">
      <c r="A32" s="156"/>
      <c r="B32" s="76"/>
      <c r="C32" s="76"/>
      <c r="D32" s="76"/>
      <c r="E32" s="76"/>
      <c r="F32" s="76"/>
      <c r="G32" s="76"/>
      <c r="H32" s="76"/>
      <c r="I32" s="76"/>
      <c r="J32" s="76"/>
      <c r="K32" s="164"/>
      <c r="L32" s="156"/>
      <c r="M32" s="76"/>
      <c r="N32" s="76"/>
      <c r="O32" s="164"/>
      <c r="P32" s="76"/>
      <c r="Q32" s="76"/>
      <c r="R32" s="76"/>
      <c r="S32" s="76"/>
      <c r="T32" s="76"/>
      <c r="U32" s="76"/>
      <c r="V32" s="76"/>
      <c r="W32" s="76"/>
      <c r="X32" s="76"/>
      <c r="Y32" s="76"/>
      <c r="Z32" s="76"/>
    </row>
    <row r="33" ht="12.75" customHeight="1">
      <c r="A33" s="156"/>
      <c r="B33" s="76"/>
      <c r="C33" s="76"/>
      <c r="D33" s="76"/>
      <c r="E33" s="76"/>
      <c r="F33" s="76"/>
      <c r="G33" s="76"/>
      <c r="H33" s="76"/>
      <c r="I33" s="76"/>
      <c r="J33" s="76"/>
      <c r="K33" s="164"/>
      <c r="L33" s="156"/>
      <c r="M33" s="76"/>
      <c r="N33" s="76"/>
      <c r="O33" s="164"/>
      <c r="P33" s="76"/>
      <c r="Q33" s="76"/>
      <c r="R33" s="76"/>
      <c r="S33" s="76"/>
      <c r="T33" s="76"/>
      <c r="U33" s="76"/>
      <c r="V33" s="76"/>
      <c r="W33" s="76"/>
      <c r="X33" s="76"/>
      <c r="Y33" s="76"/>
      <c r="Z33" s="76"/>
    </row>
    <row r="34" ht="12.75" customHeight="1">
      <c r="A34" s="156"/>
      <c r="B34" s="76"/>
      <c r="C34" s="76"/>
      <c r="D34" s="76"/>
      <c r="E34" s="76"/>
      <c r="F34" s="76"/>
      <c r="G34" s="76"/>
      <c r="H34" s="76"/>
      <c r="I34" s="76"/>
      <c r="J34" s="76"/>
      <c r="K34" s="164"/>
      <c r="L34" s="156"/>
      <c r="M34" s="76"/>
      <c r="N34" s="76"/>
      <c r="O34" s="164"/>
      <c r="P34" s="76"/>
      <c r="Q34" s="76"/>
      <c r="R34" s="76"/>
      <c r="S34" s="76"/>
      <c r="T34" s="76"/>
      <c r="U34" s="76"/>
      <c r="V34" s="76"/>
      <c r="W34" s="76"/>
      <c r="X34" s="76"/>
      <c r="Y34" s="76"/>
      <c r="Z34" s="76"/>
    </row>
    <row r="35" ht="12.75" customHeight="1">
      <c r="A35" s="156"/>
      <c r="B35" s="76"/>
      <c r="C35" s="76"/>
      <c r="D35" s="76"/>
      <c r="E35" s="76"/>
      <c r="F35" s="76"/>
      <c r="G35" s="76"/>
      <c r="H35" s="76"/>
      <c r="I35" s="76"/>
      <c r="J35" s="76"/>
      <c r="K35" s="164"/>
      <c r="L35" s="156"/>
      <c r="M35" s="76"/>
      <c r="N35" s="76"/>
      <c r="O35" s="164"/>
      <c r="P35" s="76"/>
      <c r="Q35" s="76"/>
      <c r="R35" s="76"/>
      <c r="S35" s="76"/>
      <c r="T35" s="76"/>
      <c r="U35" s="76"/>
      <c r="V35" s="76"/>
      <c r="W35" s="76"/>
      <c r="X35" s="76"/>
      <c r="Y35" s="76"/>
      <c r="Z35" s="76"/>
    </row>
    <row r="36" ht="12.75" customHeight="1">
      <c r="A36" s="156"/>
      <c r="B36" s="76"/>
      <c r="C36" s="76"/>
      <c r="D36" s="76"/>
      <c r="E36" s="76"/>
      <c r="F36" s="76"/>
      <c r="G36" s="76"/>
      <c r="H36" s="76"/>
      <c r="I36" s="76"/>
      <c r="J36" s="76"/>
      <c r="K36" s="164"/>
      <c r="L36" s="156"/>
      <c r="M36" s="76"/>
      <c r="N36" s="76"/>
      <c r="O36" s="164"/>
      <c r="P36" s="76"/>
      <c r="Q36" s="76"/>
      <c r="R36" s="76"/>
      <c r="S36" s="76"/>
      <c r="T36" s="76"/>
      <c r="U36" s="76"/>
      <c r="V36" s="76"/>
      <c r="W36" s="76"/>
      <c r="X36" s="76"/>
      <c r="Y36" s="76"/>
      <c r="Z36" s="76"/>
    </row>
    <row r="37" ht="12.75" customHeight="1">
      <c r="A37" s="156"/>
      <c r="B37" s="76"/>
      <c r="C37" s="76"/>
      <c r="D37" s="76"/>
      <c r="E37" s="76"/>
      <c r="F37" s="76"/>
      <c r="G37" s="76"/>
      <c r="H37" s="76"/>
      <c r="I37" s="76"/>
      <c r="J37" s="76"/>
      <c r="K37" s="164"/>
      <c r="L37" s="156"/>
      <c r="M37" s="76"/>
      <c r="N37" s="76"/>
      <c r="O37" s="164"/>
      <c r="P37" s="76"/>
      <c r="Q37" s="76"/>
      <c r="R37" s="76"/>
      <c r="S37" s="76"/>
      <c r="T37" s="76"/>
      <c r="U37" s="76"/>
      <c r="V37" s="76"/>
      <c r="W37" s="76"/>
      <c r="X37" s="76"/>
      <c r="Y37" s="76"/>
      <c r="Z37" s="76"/>
    </row>
    <row r="38" ht="12.75" customHeight="1">
      <c r="A38" s="156"/>
      <c r="B38" s="76"/>
      <c r="C38" s="76"/>
      <c r="D38" s="76"/>
      <c r="E38" s="76"/>
      <c r="F38" s="76"/>
      <c r="G38" s="76"/>
      <c r="H38" s="76"/>
      <c r="I38" s="76"/>
      <c r="J38" s="76"/>
      <c r="K38" s="164"/>
      <c r="L38" s="156"/>
      <c r="M38" s="76"/>
      <c r="N38" s="76"/>
      <c r="O38" s="164"/>
      <c r="P38" s="76"/>
      <c r="Q38" s="76"/>
      <c r="R38" s="76"/>
      <c r="S38" s="76"/>
      <c r="T38" s="76"/>
      <c r="U38" s="76"/>
      <c r="V38" s="76"/>
      <c r="W38" s="76"/>
      <c r="X38" s="76"/>
      <c r="Y38" s="76"/>
      <c r="Z38" s="76"/>
    </row>
    <row r="39" ht="12.75" customHeight="1">
      <c r="A39" s="156"/>
      <c r="B39" s="76"/>
      <c r="C39" s="76"/>
      <c r="D39" s="76"/>
      <c r="E39" s="76"/>
      <c r="F39" s="76"/>
      <c r="G39" s="76"/>
      <c r="H39" s="76"/>
      <c r="I39" s="76"/>
      <c r="J39" s="76"/>
      <c r="K39" s="164"/>
      <c r="L39" s="156"/>
      <c r="M39" s="76"/>
      <c r="N39" s="76"/>
      <c r="O39" s="164"/>
      <c r="P39" s="76"/>
      <c r="Q39" s="76"/>
      <c r="R39" s="76"/>
      <c r="S39" s="76"/>
      <c r="T39" s="76"/>
      <c r="U39" s="76"/>
      <c r="V39" s="76"/>
      <c r="W39" s="76"/>
      <c r="X39" s="76"/>
      <c r="Y39" s="76"/>
      <c r="Z39" s="76"/>
    </row>
    <row r="40" ht="12.75" customHeight="1">
      <c r="A40" s="156"/>
      <c r="B40" s="76"/>
      <c r="C40" s="76"/>
      <c r="D40" s="76"/>
      <c r="E40" s="76"/>
      <c r="F40" s="76"/>
      <c r="G40" s="76"/>
      <c r="H40" s="76"/>
      <c r="I40" s="76"/>
      <c r="J40" s="76"/>
      <c r="K40" s="164"/>
      <c r="L40" s="156"/>
      <c r="M40" s="76"/>
      <c r="N40" s="76"/>
      <c r="O40" s="164"/>
      <c r="P40" s="76"/>
      <c r="Q40" s="76"/>
      <c r="R40" s="76"/>
      <c r="S40" s="76"/>
      <c r="T40" s="76"/>
      <c r="U40" s="76"/>
      <c r="V40" s="76"/>
      <c r="W40" s="76"/>
      <c r="X40" s="76"/>
      <c r="Y40" s="76"/>
      <c r="Z40" s="76"/>
    </row>
    <row r="41" ht="12.75" customHeight="1">
      <c r="A41" s="156"/>
      <c r="B41" s="76"/>
      <c r="C41" s="76"/>
      <c r="D41" s="76"/>
      <c r="E41" s="76"/>
      <c r="F41" s="76"/>
      <c r="G41" s="76"/>
      <c r="H41" s="76"/>
      <c r="I41" s="76"/>
      <c r="J41" s="76"/>
      <c r="K41" s="164"/>
      <c r="L41" s="156"/>
      <c r="M41" s="76"/>
      <c r="N41" s="76"/>
      <c r="O41" s="164"/>
      <c r="P41" s="76"/>
      <c r="Q41" s="76"/>
      <c r="R41" s="76"/>
      <c r="S41" s="76"/>
      <c r="T41" s="76"/>
      <c r="U41" s="76"/>
      <c r="V41" s="76"/>
      <c r="W41" s="76"/>
      <c r="X41" s="76"/>
      <c r="Y41" s="76"/>
      <c r="Z41" s="76"/>
    </row>
    <row r="42" ht="12.75" customHeight="1">
      <c r="A42" s="156"/>
      <c r="B42" s="76"/>
      <c r="C42" s="76"/>
      <c r="D42" s="76"/>
      <c r="E42" s="76"/>
      <c r="F42" s="76"/>
      <c r="G42" s="76"/>
      <c r="H42" s="76"/>
      <c r="I42" s="76"/>
      <c r="J42" s="76"/>
      <c r="K42" s="164"/>
      <c r="L42" s="156"/>
      <c r="M42" s="76"/>
      <c r="N42" s="76"/>
      <c r="O42" s="164"/>
      <c r="P42" s="76"/>
      <c r="Q42" s="76"/>
      <c r="R42" s="76"/>
      <c r="S42" s="76"/>
      <c r="T42" s="76"/>
      <c r="U42" s="76"/>
      <c r="V42" s="76"/>
      <c r="W42" s="76"/>
      <c r="X42" s="76"/>
      <c r="Y42" s="76"/>
      <c r="Z42" s="76"/>
    </row>
    <row r="43" ht="12.75" customHeight="1">
      <c r="A43" s="88"/>
      <c r="B43" s="116"/>
      <c r="C43" s="116"/>
      <c r="D43" s="116"/>
      <c r="E43" s="116"/>
      <c r="F43" s="116"/>
      <c r="G43" s="116"/>
      <c r="H43" s="116"/>
      <c r="I43" s="116"/>
      <c r="J43" s="116"/>
      <c r="K43" s="152"/>
      <c r="L43" s="88"/>
      <c r="M43" s="116"/>
      <c r="N43" s="116"/>
      <c r="O43" s="152"/>
      <c r="P43" s="76"/>
      <c r="Q43" s="76"/>
      <c r="R43" s="76"/>
      <c r="S43" s="76"/>
      <c r="T43" s="76"/>
      <c r="U43" s="76"/>
      <c r="V43" s="76"/>
      <c r="W43" s="76"/>
      <c r="X43" s="76"/>
      <c r="Y43" s="76"/>
      <c r="Z43" s="76"/>
    </row>
    <row r="44" ht="12.75" customHeight="1">
      <c r="A44" s="138" t="s">
        <v>57</v>
      </c>
      <c r="B44" s="118"/>
      <c r="C44" s="118"/>
      <c r="D44" s="118"/>
      <c r="E44" s="118"/>
      <c r="F44" s="118"/>
      <c r="G44" s="118"/>
      <c r="H44" s="118"/>
      <c r="I44" s="118"/>
      <c r="J44" s="118"/>
      <c r="K44" s="118"/>
      <c r="L44" s="118"/>
      <c r="M44" s="118"/>
      <c r="N44" s="118"/>
      <c r="O44" s="119"/>
      <c r="P44" s="76"/>
      <c r="Q44" s="76"/>
      <c r="R44" s="76"/>
      <c r="S44" s="76"/>
      <c r="T44" s="76"/>
      <c r="U44" s="76"/>
      <c r="V44" s="76"/>
      <c r="W44" s="76"/>
      <c r="X44" s="76"/>
      <c r="Y44" s="76"/>
      <c r="Z44" s="76"/>
    </row>
    <row r="45" ht="12.75" customHeight="1">
      <c r="A45" s="156"/>
      <c r="B45" s="76"/>
      <c r="C45" s="76"/>
      <c r="D45" s="76"/>
      <c r="E45" s="76"/>
      <c r="F45" s="76"/>
      <c r="G45" s="76"/>
      <c r="H45" s="76"/>
      <c r="I45" s="76"/>
      <c r="J45" s="76"/>
      <c r="K45" s="76"/>
      <c r="L45" s="76"/>
      <c r="M45" s="76"/>
      <c r="N45" s="76"/>
      <c r="O45" s="164"/>
      <c r="P45" s="76"/>
      <c r="Q45" s="76"/>
      <c r="R45" s="76"/>
      <c r="S45" s="76"/>
      <c r="T45" s="76"/>
      <c r="U45" s="76"/>
      <c r="V45" s="76"/>
      <c r="W45" s="76"/>
      <c r="X45" s="76"/>
      <c r="Y45" s="76"/>
      <c r="Z45" s="76"/>
    </row>
    <row r="46" ht="12.75" customHeight="1">
      <c r="A46" s="156"/>
      <c r="B46" s="76"/>
      <c r="C46" s="76"/>
      <c r="D46" s="76"/>
      <c r="E46" s="76"/>
      <c r="F46" s="76"/>
      <c r="G46" s="76"/>
      <c r="H46" s="76"/>
      <c r="I46" s="76"/>
      <c r="J46" s="76"/>
      <c r="K46" s="76"/>
      <c r="L46" s="76"/>
      <c r="M46" s="76"/>
      <c r="N46" s="76"/>
      <c r="O46" s="164"/>
      <c r="P46" s="76"/>
      <c r="Q46" s="76"/>
      <c r="R46" s="76"/>
      <c r="S46" s="76"/>
      <c r="T46" s="76"/>
      <c r="U46" s="76"/>
      <c r="V46" s="76"/>
      <c r="W46" s="76"/>
      <c r="X46" s="76"/>
      <c r="Y46" s="76"/>
      <c r="Z46" s="76"/>
    </row>
    <row r="47" ht="12.75" customHeight="1">
      <c r="A47" s="156"/>
      <c r="B47" s="76"/>
      <c r="C47" s="76"/>
      <c r="D47" s="76"/>
      <c r="E47" s="76"/>
      <c r="F47" s="76"/>
      <c r="G47" s="76"/>
      <c r="H47" s="76"/>
      <c r="I47" s="76"/>
      <c r="J47" s="76"/>
      <c r="K47" s="76"/>
      <c r="L47" s="76"/>
      <c r="M47" s="76"/>
      <c r="N47" s="76"/>
      <c r="O47" s="164"/>
      <c r="P47" s="76"/>
      <c r="Q47" s="76"/>
      <c r="R47" s="76"/>
      <c r="S47" s="76"/>
      <c r="T47" s="76"/>
      <c r="U47" s="76"/>
      <c r="V47" s="76"/>
      <c r="W47" s="76"/>
      <c r="X47" s="76"/>
      <c r="Y47" s="76"/>
      <c r="Z47" s="76"/>
    </row>
    <row r="48" ht="12.75" customHeight="1">
      <c r="A48" s="156"/>
      <c r="B48" s="76"/>
      <c r="C48" s="76"/>
      <c r="D48" s="76"/>
      <c r="E48" s="76"/>
      <c r="F48" s="76"/>
      <c r="G48" s="76"/>
      <c r="H48" s="76"/>
      <c r="I48" s="76"/>
      <c r="J48" s="76"/>
      <c r="K48" s="76"/>
      <c r="L48" s="76"/>
      <c r="M48" s="76"/>
      <c r="N48" s="76"/>
      <c r="O48" s="164"/>
      <c r="P48" s="76"/>
      <c r="Q48" s="76"/>
      <c r="R48" s="76"/>
      <c r="S48" s="76"/>
      <c r="T48" s="76"/>
      <c r="U48" s="76"/>
      <c r="V48" s="76"/>
      <c r="W48" s="76"/>
      <c r="X48" s="76"/>
      <c r="Y48" s="76"/>
      <c r="Z48" s="76"/>
    </row>
    <row r="49" ht="12.75" customHeight="1">
      <c r="A49" s="156"/>
      <c r="B49" s="76"/>
      <c r="C49" s="76"/>
      <c r="D49" s="76"/>
      <c r="E49" s="76"/>
      <c r="F49" s="76"/>
      <c r="G49" s="76"/>
      <c r="H49" s="76"/>
      <c r="I49" s="76"/>
      <c r="J49" s="76"/>
      <c r="K49" s="76"/>
      <c r="L49" s="76"/>
      <c r="M49" s="76"/>
      <c r="N49" s="76"/>
      <c r="O49" s="164"/>
      <c r="P49" s="76"/>
      <c r="Q49" s="76"/>
      <c r="R49" s="76"/>
      <c r="S49" s="76"/>
      <c r="T49" s="76"/>
      <c r="U49" s="76"/>
      <c r="V49" s="76"/>
      <c r="W49" s="76"/>
      <c r="X49" s="76"/>
      <c r="Y49" s="76"/>
      <c r="Z49" s="76"/>
    </row>
    <row r="50" ht="12.75" customHeight="1">
      <c r="A50" s="156"/>
      <c r="B50" s="76"/>
      <c r="C50" s="76"/>
      <c r="D50" s="76"/>
      <c r="E50" s="76"/>
      <c r="F50" s="76"/>
      <c r="G50" s="76"/>
      <c r="H50" s="76"/>
      <c r="I50" s="76"/>
      <c r="J50" s="76"/>
      <c r="K50" s="76"/>
      <c r="L50" s="76"/>
      <c r="M50" s="76"/>
      <c r="N50" s="76"/>
      <c r="O50" s="164"/>
      <c r="P50" s="76"/>
      <c r="Q50" s="76"/>
      <c r="R50" s="76"/>
      <c r="S50" s="76"/>
      <c r="T50" s="76"/>
      <c r="U50" s="76"/>
      <c r="V50" s="76"/>
      <c r="W50" s="76"/>
      <c r="X50" s="76"/>
      <c r="Y50" s="76"/>
      <c r="Z50" s="76"/>
    </row>
    <row r="51" ht="12.75" customHeight="1">
      <c r="A51" s="156"/>
      <c r="B51" s="76"/>
      <c r="C51" s="76"/>
      <c r="D51" s="76"/>
      <c r="E51" s="76"/>
      <c r="F51" s="76"/>
      <c r="G51" s="76"/>
      <c r="H51" s="76"/>
      <c r="I51" s="76"/>
      <c r="J51" s="76"/>
      <c r="K51" s="76"/>
      <c r="L51" s="76"/>
      <c r="M51" s="76"/>
      <c r="N51" s="76"/>
      <c r="O51" s="164"/>
      <c r="P51" s="76"/>
      <c r="Q51" s="76"/>
      <c r="R51" s="76"/>
      <c r="S51" s="76"/>
      <c r="T51" s="76"/>
      <c r="U51" s="76"/>
      <c r="V51" s="76"/>
      <c r="W51" s="76"/>
      <c r="X51" s="76"/>
      <c r="Y51" s="76"/>
      <c r="Z51" s="76"/>
    </row>
    <row r="52" ht="12.75" customHeight="1">
      <c r="A52" s="156"/>
      <c r="B52" s="76"/>
      <c r="C52" s="76"/>
      <c r="D52" s="76"/>
      <c r="E52" s="76"/>
      <c r="F52" s="76"/>
      <c r="G52" s="76"/>
      <c r="H52" s="76"/>
      <c r="I52" s="76"/>
      <c r="J52" s="76"/>
      <c r="K52" s="76"/>
      <c r="L52" s="76"/>
      <c r="M52" s="76"/>
      <c r="N52" s="76"/>
      <c r="O52" s="164"/>
      <c r="P52" s="76"/>
      <c r="Q52" s="76"/>
      <c r="R52" s="76"/>
      <c r="S52" s="76"/>
      <c r="T52" s="76"/>
      <c r="U52" s="76"/>
      <c r="V52" s="76"/>
      <c r="W52" s="76"/>
      <c r="X52" s="76"/>
      <c r="Y52" s="76"/>
      <c r="Z52" s="76"/>
    </row>
    <row r="53" ht="12.75" customHeight="1">
      <c r="A53" s="88"/>
      <c r="B53" s="116"/>
      <c r="C53" s="116"/>
      <c r="D53" s="116"/>
      <c r="E53" s="116"/>
      <c r="F53" s="116"/>
      <c r="G53" s="116"/>
      <c r="H53" s="116"/>
      <c r="I53" s="116"/>
      <c r="J53" s="116"/>
      <c r="K53" s="116"/>
      <c r="L53" s="116"/>
      <c r="M53" s="116"/>
      <c r="N53" s="116"/>
      <c r="O53" s="152"/>
      <c r="P53" s="76"/>
      <c r="Q53" s="76"/>
      <c r="R53" s="76"/>
      <c r="S53" s="76"/>
      <c r="T53" s="76"/>
      <c r="U53" s="76"/>
      <c r="V53" s="76"/>
      <c r="W53" s="76"/>
      <c r="X53" s="76"/>
      <c r="Y53" s="76"/>
      <c r="Z53" s="76"/>
    </row>
    <row r="54" ht="12.75" customHeight="1">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ht="12.75" customHeight="1">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row>
    <row r="56" ht="12.75" customHeight="1">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row>
    <row r="57" ht="12.75" customHeight="1">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ht="12.75" customHeight="1">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ht="12.75" customHeight="1">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ht="12.75" customHeight="1">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ht="12.75" customHeight="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ht="12.75" customHeight="1">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ht="12.75" customHeight="1">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ht="12.75" customHeight="1">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ht="12.75" customHeight="1">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ht="12.75" customHeight="1">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ht="12.75" customHeight="1">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ht="12.75" customHeight="1">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ht="12.75" customHeight="1">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ht="12.75" customHeight="1">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ht="12.75" customHeight="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ht="12.75" customHeight="1">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ht="12.75" customHeight="1">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ht="12.75" customHeight="1">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ht="12.75" customHeight="1">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ht="12.75" customHeight="1">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ht="12.75" customHeight="1">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ht="12.75" customHeight="1">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ht="12.75" customHeight="1">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ht="12.75" customHeight="1">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ht="12.75" customHeight="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ht="12.75" customHeight="1">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ht="12.75" customHeight="1">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ht="12.75" customHeight="1">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ht="12.75" customHeight="1">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ht="12.75" customHeight="1">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ht="12.75" customHeight="1">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ht="12.75" customHeight="1">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ht="12.75" customHeight="1">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ht="12.75" customHeight="1">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ht="12.75" customHeight="1">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ht="12.75" customHeight="1">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ht="12.75" customHeight="1">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ht="12.75" customHeight="1">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ht="12.75" customHeight="1">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ht="12.75" customHeight="1">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ht="12.75" customHeight="1">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ht="12.75" customHeight="1">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ht="12.75" customHeight="1">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ht="12.75" customHeight="1">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ht="12.75" customHeight="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ht="12.75" customHeight="1">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ht="12.75" customHeight="1">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ht="12.75" customHeight="1">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ht="12.75" customHeight="1">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ht="12.75" customHeight="1">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ht="12.75" customHeight="1">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ht="12.75" customHeight="1">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ht="12.75" customHeight="1">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ht="12.75" customHeight="1">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ht="12.75" customHeight="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ht="12.75" customHeight="1">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ht="12.75" customHeight="1">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ht="12.75" customHeight="1">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ht="12.75" customHeight="1">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ht="12.75" customHeight="1">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ht="12.75" customHeight="1">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ht="12.75" customHeight="1">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ht="12.75" customHeight="1">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ht="12.75" customHeight="1">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ht="12.75" customHeight="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ht="12.75" customHeight="1">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ht="12.75" customHeight="1">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ht="12.75" customHeight="1">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ht="12.75" customHeight="1">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ht="12.75" customHeight="1">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ht="12.75" customHeight="1">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ht="12.75" customHeight="1">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ht="12.75" customHeight="1">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ht="12.75" customHeight="1">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ht="12.75" customHeight="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ht="12.75" customHeight="1">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ht="12.75" customHeight="1">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ht="12.75" customHeight="1">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ht="12.75" customHeight="1">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ht="12.75" customHeight="1">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ht="12.75" customHeight="1">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ht="12.75" customHeight="1">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ht="12.75" customHeight="1">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ht="12.75" customHeight="1">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ht="12.75" customHeight="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ht="12.75" customHeight="1">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ht="12.75" customHeight="1">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ht="12.75" customHeight="1">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ht="12.75" customHeight="1">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ht="12.75" customHeight="1">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ht="12.75" customHeight="1">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ht="12.75" customHeight="1">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ht="12.75" customHeight="1">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ht="12.75" customHeight="1">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ht="12.75" customHeight="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ht="12.75" customHeight="1">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ht="12.75" customHeight="1">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ht="12.75" customHeight="1">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ht="12.75" customHeight="1">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ht="12.75" customHeight="1">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ht="12.75" customHeight="1">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ht="12.75" customHeight="1">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ht="12.75" customHeight="1">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ht="12.75" customHeight="1">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ht="12.75" customHeight="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ht="12.75" customHeight="1">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ht="12.75" customHeight="1">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ht="12.75" customHeight="1">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ht="12.75" customHeight="1">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ht="12.75" customHeight="1">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ht="12.75" customHeight="1">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ht="12.75" customHeight="1">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ht="12.75" customHeight="1">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ht="12.75" customHeight="1">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ht="12.75" customHeight="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ht="12.75" customHeight="1">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ht="12.75" customHeight="1">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ht="12.75" customHeight="1">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ht="12.75" customHeight="1">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ht="12.75" customHeight="1">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ht="12.75" customHeight="1">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ht="12.75" customHeight="1">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ht="12.75" customHeight="1">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ht="12.75" customHeight="1">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ht="12.75" customHeight="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ht="12.75" customHeight="1">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ht="12.75" customHeight="1">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ht="12.75" customHeight="1">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ht="12.75" customHeight="1">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ht="12.75" customHeight="1">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ht="12.75" customHeight="1">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ht="12.75" customHeight="1">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ht="12.75" customHeight="1">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ht="12.75" customHeight="1">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ht="12.75" customHeight="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ht="12.75" customHeight="1">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ht="12.75" customHeight="1">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ht="12.75" customHeight="1">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ht="12.75" customHeight="1">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ht="12.75" customHeight="1">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ht="12.75" customHeight="1">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ht="12.75" customHeight="1">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ht="12.75" customHeight="1">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ht="12.75" customHeight="1">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ht="12.75" customHeight="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ht="12.75" customHeight="1">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ht="12.75" customHeight="1">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ht="12.75" customHeight="1">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ht="12.75" customHeight="1">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ht="12.75" customHeight="1">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ht="12.75" customHeight="1">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ht="12.75" customHeight="1">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ht="12.75" customHeight="1">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ht="12.75" customHeight="1">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ht="12.75" customHeight="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ht="12.75" customHeight="1">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ht="12.75" customHeight="1">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ht="12.75" customHeight="1">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ht="12.75" customHeight="1">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ht="12.75" customHeight="1">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ht="12.75" customHeight="1">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ht="12.75" customHeight="1">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ht="12.75" customHeight="1">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ht="12.75" customHeight="1">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ht="12.75" customHeight="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ht="12.75" customHeight="1">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ht="12.75" customHeight="1">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ht="12.75" customHeight="1">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ht="12.75" customHeight="1">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ht="12.75" customHeight="1">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ht="12.75" customHeight="1">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ht="12.75" customHeight="1">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ht="12.75" customHeight="1">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ht="12.75" customHeight="1">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ht="12.75" customHeight="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ht="12.75" customHeight="1">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ht="12.75" customHeight="1">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ht="12.75" customHeight="1">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ht="12.75" customHeight="1">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ht="12.75" customHeight="1">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ht="12.75" customHeight="1">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ht="12.75" customHeight="1">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ht="12.75" customHeight="1">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ht="12.75" customHeight="1">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ht="12.75" customHeight="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ht="12.75" customHeight="1">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ht="12.75" customHeight="1">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ht="12.75" customHeight="1">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ht="12.75" customHeight="1">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ht="12.75" customHeight="1">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ht="12.75" customHeight="1">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ht="12.75" customHeight="1">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ht="12.75" customHeight="1">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ht="12.75" customHeight="1">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ht="12.75" customHeight="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ht="12.75" customHeight="1">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ht="12.75" customHeight="1">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ht="12.75" customHeight="1">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ht="12.75" customHeight="1">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ht="12.75" customHeight="1">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ht="12.75" customHeight="1">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ht="12.75" customHeight="1">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ht="12.75" customHeight="1">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ht="12.75" customHeight="1">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ht="12.75" customHeight="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ht="12.75" customHeight="1">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ht="12.75" customHeight="1">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ht="12.75" customHeight="1">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ht="12.75" customHeight="1">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ht="12.75" customHeight="1">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ht="12.75" customHeight="1">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ht="12.75" customHeight="1">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ht="12.75" customHeight="1">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ht="12.75" customHeight="1">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ht="12.75" customHeight="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ht="12.75" customHeight="1">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ht="12.75" customHeight="1">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ht="12.75" customHeight="1">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ht="12.75" customHeight="1">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ht="12.75" customHeight="1">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ht="12.75" customHeight="1">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ht="12.75" customHeight="1">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ht="12.75" customHeight="1">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ht="12.75" customHeight="1">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ht="12.75" customHeight="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ht="12.75" customHeight="1">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ht="12.75" customHeight="1">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ht="12.75" customHeight="1">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ht="12.75" customHeight="1">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ht="12.75" customHeight="1">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ht="12.75" customHeight="1">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ht="12.75" customHeight="1">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ht="12.75" customHeight="1">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ht="12.75" customHeight="1">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ht="12.75" customHeight="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ht="12.75" customHeight="1">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ht="12.75" customHeight="1">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ht="12.75" customHeight="1">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ht="12.75" customHeight="1">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ht="12.75" customHeight="1">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ht="12.75" customHeight="1">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ht="12.75" customHeight="1">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ht="12.75" customHeight="1">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ht="12.75" customHeight="1">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ht="12.75" customHeight="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ht="12.75" customHeight="1">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ht="12.75" customHeight="1">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ht="12.75" customHeight="1">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ht="12.75" customHeight="1">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ht="12.75" customHeight="1">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ht="12.75" customHeight="1">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ht="12.75" customHeight="1">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ht="12.75" customHeight="1">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ht="12.75" customHeight="1">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ht="12.75" customHeight="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ht="12.75" customHeight="1">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ht="12.75" customHeight="1">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ht="12.75" customHeight="1">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ht="12.75" customHeight="1">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ht="12.75" customHeight="1">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ht="12.75" customHeight="1">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ht="12.75" customHeight="1">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ht="12.75" customHeight="1">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ht="12.75" customHeight="1">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ht="12.75" customHeight="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ht="12.75" customHeight="1">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ht="12.75" customHeight="1">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ht="12.75" customHeight="1">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ht="12.75" customHeight="1">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ht="12.75" customHeight="1">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ht="12.75" customHeight="1">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ht="12.75" customHeight="1">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ht="12.75" customHeight="1">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ht="12.75" customHeight="1">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ht="12.75" customHeight="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ht="12.75" customHeight="1">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ht="12.75" customHeight="1">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ht="12.75" customHeight="1">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ht="12.75" customHeight="1">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ht="12.75" customHeight="1">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ht="12.75" customHeight="1">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ht="12.75" customHeight="1">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ht="12.75" customHeight="1">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ht="12.75" customHeight="1">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ht="12.75" customHeight="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ht="12.75" customHeight="1">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ht="12.75" customHeight="1">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ht="12.75" customHeight="1">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ht="12.75" customHeight="1">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ht="12.75" customHeight="1">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ht="12.75" customHeight="1">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ht="12.75" customHeight="1">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ht="12.75" customHeight="1">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ht="12.75" customHeight="1">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ht="12.75" customHeight="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ht="12.75" customHeight="1">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ht="12.75" customHeight="1">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ht="12.75" customHeight="1">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ht="12.75" customHeight="1">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ht="12.75" customHeight="1">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ht="12.75" customHeight="1">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ht="12.75" customHeight="1">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ht="12.75" customHeight="1">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ht="12.75" customHeight="1">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ht="12.75" customHeight="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ht="12.75" customHeight="1">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ht="12.75" customHeight="1">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ht="12.75" customHeight="1">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ht="12.75" customHeight="1">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ht="12.75" customHeight="1">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ht="12.75" customHeight="1">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ht="12.75" customHeight="1">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ht="12.75" customHeight="1">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ht="12.75" customHeight="1">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ht="12.75" customHeight="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ht="12.75" customHeight="1">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ht="12.75" customHeight="1">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ht="12.75" customHeight="1">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ht="12.75" customHeight="1">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ht="12.75" customHeight="1">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ht="12.75" customHeight="1">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ht="12.75" customHeight="1">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ht="12.75" customHeight="1">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ht="12.75" customHeight="1">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ht="12.75" customHeight="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ht="12.75" customHeight="1">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ht="12.75" customHeight="1">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ht="12.75" customHeight="1">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ht="12.75" customHeight="1">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ht="12.75" customHeight="1">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ht="12.75" customHeight="1">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ht="12.75" customHeight="1">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ht="12.75" customHeight="1">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ht="12.75" customHeight="1">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ht="12.75" customHeight="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ht="12.75" customHeight="1">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ht="12.75" customHeight="1">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ht="12.75" customHeight="1">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ht="12.75" customHeight="1">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ht="12.75" customHeight="1">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ht="12.75" customHeight="1">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ht="12.75" customHeight="1">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ht="12.75" customHeight="1">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ht="12.75" customHeight="1">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ht="12.75" customHeight="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ht="12.75" customHeight="1">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ht="12.75" customHeight="1">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ht="12.75" customHeight="1">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ht="12.75" customHeight="1">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ht="12.75" customHeight="1">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ht="12.75" customHeight="1">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ht="12.75" customHeight="1">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ht="12.75" customHeight="1">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ht="12.75" customHeight="1">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ht="12.75" customHeight="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ht="12.75" customHeight="1">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ht="12.75" customHeight="1">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ht="12.75" customHeight="1">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ht="12.75" customHeight="1">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ht="12.75" customHeight="1">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ht="12.75" customHeight="1">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ht="12.75" customHeight="1">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ht="12.75" customHeight="1">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ht="12.75" customHeight="1">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ht="12.75" customHeight="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ht="12.75" customHeight="1">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ht="12.75" customHeight="1">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ht="12.75" customHeight="1">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ht="12.75" customHeight="1">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ht="12.75" customHeight="1">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ht="12.75" customHeight="1">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ht="12.75" customHeight="1">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ht="12.75" customHeight="1">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ht="12.75" customHeight="1">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ht="12.75" customHeight="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ht="12.75" customHeight="1">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ht="12.75" customHeight="1">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ht="12.75" customHeight="1">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ht="12.75" customHeight="1">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ht="12.75" customHeight="1">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ht="12.75" customHeight="1">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ht="12.75" customHeight="1">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ht="12.75" customHeight="1">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ht="12.75" customHeight="1">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ht="12.75" customHeight="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ht="12.75" customHeight="1">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ht="12.75" customHeight="1">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ht="12.75" customHeight="1">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ht="12.75" customHeight="1">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ht="12.75" customHeight="1">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ht="12.75" customHeight="1">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ht="12.75" customHeight="1">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ht="12.75" customHeight="1">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ht="12.75" customHeight="1">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ht="12.75" customHeight="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ht="12.75" customHeight="1">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ht="12.75" customHeight="1">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ht="12.75" customHeight="1">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ht="12.75" customHeight="1">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ht="12.75" customHeight="1">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ht="12.75" customHeight="1">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ht="12.75" customHeight="1">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ht="12.75" customHeight="1">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ht="12.75" customHeight="1">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ht="12.75" customHeight="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ht="12.75" customHeight="1">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ht="12.75" customHeight="1">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ht="12.75" customHeight="1">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ht="12.75" customHeight="1">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ht="12.75" customHeight="1">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ht="12.75" customHeight="1">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ht="12.75" customHeight="1">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ht="12.75" customHeight="1">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ht="12.75" customHeight="1">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ht="12.75" customHeight="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ht="12.75" customHeight="1">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ht="12.75" customHeight="1">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ht="12.75" customHeight="1">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ht="12.75" customHeight="1">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ht="12.75" customHeight="1">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ht="12.75" customHeight="1">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ht="12.75" customHeight="1">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ht="12.75" customHeight="1">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ht="12.75" customHeight="1">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ht="12.75" customHeight="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ht="12.75" customHeight="1">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ht="12.75" customHeight="1">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ht="12.75" customHeight="1">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ht="12.75" customHeight="1">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ht="12.75" customHeight="1">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ht="12.75" customHeight="1">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ht="12.75" customHeight="1">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ht="12.75" customHeight="1">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ht="12.75" customHeight="1">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ht="12.75" customHeight="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ht="12.75" customHeight="1">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ht="12.75" customHeight="1">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ht="12.75" customHeight="1">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ht="12.75" customHeight="1">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ht="12.75" customHeight="1">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ht="12.75" customHeight="1">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ht="12.75" customHeight="1">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ht="12.75" customHeight="1">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ht="12.75" customHeight="1">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ht="12.75" customHeight="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ht="12.75" customHeight="1">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ht="12.75" customHeight="1">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ht="12.75" customHeight="1">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ht="12.75" customHeight="1">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ht="12.75" customHeight="1">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ht="12.75" customHeight="1">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ht="12.75" customHeight="1">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ht="12.75" customHeight="1">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ht="12.75" customHeight="1">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ht="12.75" customHeight="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ht="12.75" customHeight="1">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ht="12.75" customHeight="1">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ht="12.75" customHeight="1">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ht="12.75" customHeight="1">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ht="12.75" customHeight="1">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ht="12.75" customHeight="1">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ht="12.75" customHeight="1">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ht="12.75" customHeight="1">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ht="12.75" customHeight="1">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ht="12.75" customHeight="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ht="12.75" customHeight="1">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ht="12.75" customHeight="1">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ht="12.75" customHeight="1">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ht="12.75" customHeight="1">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ht="12.75" customHeight="1">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ht="12.75" customHeight="1">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ht="12.75" customHeight="1">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ht="12.75" customHeight="1">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ht="12.75" customHeight="1">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ht="12.75" customHeight="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ht="12.75" customHeight="1">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ht="12.75" customHeight="1">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ht="12.75" customHeight="1">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ht="12.75" customHeight="1">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ht="12.75" customHeight="1">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ht="12.75" customHeight="1">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ht="12.75" customHeight="1">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ht="12.75" customHeight="1">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ht="12.75" customHeight="1">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ht="12.75" customHeight="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ht="12.75" customHeight="1">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ht="12.75" customHeight="1">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ht="12.75" customHeight="1">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ht="12.75" customHeight="1">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ht="12.75" customHeight="1">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ht="12.75" customHeight="1">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ht="12.75" customHeight="1">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ht="12.75" customHeight="1">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ht="12.75" customHeight="1">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ht="12.75" customHeight="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ht="12.75" customHeight="1">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ht="12.75" customHeight="1">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ht="12.75" customHeight="1">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ht="12.75" customHeight="1">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ht="12.75" customHeight="1">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ht="12.75" customHeight="1">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ht="12.75" customHeight="1">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ht="12.75" customHeight="1">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ht="12.75" customHeight="1">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ht="12.75" customHeight="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ht="12.75" customHeight="1">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ht="12.75" customHeight="1">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ht="12.75" customHeight="1">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ht="12.75" customHeight="1">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ht="12.75" customHeight="1">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ht="12.75" customHeight="1">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ht="12.75" customHeight="1">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ht="12.75" customHeight="1">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ht="12.75" customHeight="1">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ht="12.75" customHeight="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ht="12.75" customHeight="1">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ht="12.75" customHeight="1">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ht="12.75" customHeight="1">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ht="12.75" customHeight="1">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ht="12.75" customHeight="1">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ht="12.75" customHeight="1">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ht="12.75" customHeight="1">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ht="12.75" customHeight="1">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ht="12.75" customHeight="1">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ht="12.75" customHeight="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ht="12.75" customHeight="1">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ht="12.75" customHeight="1">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ht="12.75" customHeight="1">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ht="12.75" customHeight="1">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ht="12.75" customHeight="1">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ht="12.75" customHeight="1">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ht="12.75" customHeight="1">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ht="12.75" customHeight="1">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ht="12.75" customHeight="1">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ht="12.75" customHeight="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ht="12.75" customHeight="1">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ht="12.75" customHeight="1">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ht="12.75" customHeight="1">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ht="12.75" customHeight="1">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ht="12.75" customHeight="1">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ht="12.75" customHeight="1">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ht="12.75" customHeight="1">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ht="12.75" customHeight="1">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ht="12.75" customHeight="1">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ht="12.75" customHeight="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ht="12.75" customHeight="1">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ht="12.75" customHeight="1">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ht="12.75" customHeight="1">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ht="12.75" customHeight="1">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ht="12.75" customHeight="1">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ht="12.75" customHeight="1">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ht="12.75" customHeight="1">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ht="12.75" customHeight="1">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ht="12.75" customHeight="1">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ht="12.75" customHeight="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ht="12.75" customHeight="1">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ht="12.75" customHeight="1">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ht="12.75" customHeight="1">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ht="12.75" customHeight="1">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ht="12.75" customHeight="1">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ht="12.75" customHeight="1">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ht="12.75" customHeight="1">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ht="12.75" customHeight="1">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ht="12.75" customHeight="1">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ht="12.75" customHeight="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ht="12.75" customHeight="1">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ht="12.75" customHeight="1">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ht="12.75" customHeight="1">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ht="12.75" customHeight="1">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ht="12.75" customHeight="1">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ht="12.75" customHeight="1">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ht="12.75" customHeight="1">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ht="12.75" customHeight="1">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ht="12.75" customHeight="1">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ht="12.75" customHeight="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ht="12.75" customHeight="1">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ht="12.75" customHeight="1">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ht="12.75" customHeight="1">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ht="12.75" customHeight="1">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ht="12.75" customHeight="1">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ht="12.75" customHeight="1">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ht="12.75" customHeight="1">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ht="12.75" customHeight="1">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ht="12.75" customHeight="1">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ht="12.75" customHeight="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ht="12.75" customHeight="1">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ht="12.75" customHeight="1">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ht="12.75" customHeight="1">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ht="12.75" customHeight="1">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ht="12.75" customHeight="1">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ht="12.75" customHeight="1">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ht="12.75" customHeight="1">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ht="12.75" customHeight="1">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ht="12.75" customHeight="1">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ht="12.75" customHeight="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ht="12.75" customHeight="1">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ht="12.75" customHeight="1">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ht="12.75" customHeight="1">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ht="12.75" customHeight="1">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ht="12.75" customHeight="1">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ht="12.75" customHeight="1">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ht="12.75" customHeight="1">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ht="12.75" customHeight="1">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ht="12.75" customHeight="1">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ht="12.75" customHeight="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ht="12.75" customHeight="1">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ht="12.75" customHeight="1">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ht="12.75" customHeight="1">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ht="12.75" customHeight="1">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ht="12.75" customHeight="1">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ht="12.75" customHeight="1">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ht="12.75" customHeight="1">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ht="12.75" customHeight="1">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ht="12.75" customHeight="1">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ht="12.75" customHeight="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ht="12.75" customHeight="1">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ht="12.75" customHeight="1">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ht="12.75" customHeight="1">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ht="12.75" customHeight="1">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ht="12.75" customHeight="1">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ht="12.75" customHeight="1">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ht="12.75" customHeight="1">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ht="12.75" customHeight="1">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ht="12.75" customHeight="1">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ht="12.75" customHeight="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ht="12.75" customHeight="1">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ht="12.75" customHeight="1">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ht="12.75" customHeight="1">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ht="12.75" customHeight="1">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ht="12.75" customHeight="1">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ht="12.75" customHeight="1">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ht="12.75" customHeight="1">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ht="12.75" customHeight="1">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ht="12.75" customHeight="1">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ht="12.75" customHeight="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ht="12.75" customHeight="1">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ht="12.75" customHeight="1">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ht="12.75" customHeight="1">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ht="12.75" customHeight="1">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ht="12.75" customHeight="1">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ht="12.75" customHeight="1">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ht="12.75" customHeight="1">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ht="12.75" customHeight="1">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ht="12.75" customHeight="1">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ht="12.75" customHeight="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ht="12.75" customHeight="1">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ht="12.75" customHeight="1">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ht="12.75" customHeight="1">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ht="12.75" customHeight="1">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ht="12.75" customHeight="1">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ht="12.75" customHeight="1">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ht="12.75" customHeight="1">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ht="12.75" customHeight="1">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ht="12.75" customHeight="1">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ht="12.75" customHeight="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ht="12.75" customHeight="1">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ht="12.75" customHeight="1">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ht="12.75" customHeight="1">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ht="12.75" customHeight="1">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ht="12.75" customHeight="1">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ht="12.75" customHeight="1">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ht="12.75" customHeight="1">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ht="12.75" customHeight="1">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ht="12.75" customHeight="1">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ht="12.75" customHeight="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ht="12.75" customHeight="1">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ht="12.75" customHeight="1">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ht="12.75" customHeight="1">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ht="12.75" customHeight="1">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ht="12.75" customHeight="1">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ht="12.75" customHeight="1">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ht="12.75" customHeight="1">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ht="12.75" customHeight="1">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ht="12.75" customHeight="1">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ht="12.75" customHeight="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ht="12.75" customHeight="1">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ht="12.75" customHeight="1">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ht="12.75" customHeight="1">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ht="12.75" customHeight="1">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ht="12.75" customHeight="1">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ht="12.75" customHeight="1">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ht="12.75" customHeight="1">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ht="12.75" customHeight="1">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ht="12.75" customHeight="1">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ht="12.75" customHeight="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ht="12.75" customHeight="1">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ht="12.75" customHeight="1">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ht="12.75" customHeight="1">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ht="12.75" customHeight="1">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ht="12.75" customHeight="1">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ht="12.75" customHeight="1">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ht="12.75" customHeight="1">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ht="12.75" customHeight="1">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ht="12.75" customHeight="1">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ht="12.75" customHeight="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ht="12.75" customHeight="1">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ht="12.75" customHeight="1">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ht="12.75" customHeight="1">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ht="12.75" customHeight="1">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ht="12.75" customHeight="1">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ht="12.75" customHeight="1">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ht="12.75" customHeight="1">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ht="12.75" customHeight="1">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ht="12.75" customHeight="1">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ht="12.75" customHeight="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ht="12.75" customHeight="1">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ht="12.75" customHeight="1">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ht="12.75" customHeight="1">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ht="12.75" customHeight="1">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ht="12.75" customHeight="1">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ht="12.75" customHeight="1">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ht="12.75" customHeight="1">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ht="12.75" customHeight="1">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ht="12.75" customHeight="1">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ht="12.75" customHeight="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ht="12.75" customHeight="1">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ht="12.75" customHeight="1">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ht="12.75" customHeight="1">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ht="12.75" customHeight="1">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ht="12.75" customHeight="1">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ht="12.75" customHeight="1">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ht="12.75" customHeight="1">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ht="12.75" customHeight="1">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ht="12.75" customHeight="1">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ht="12.75" customHeight="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ht="12.75" customHeight="1">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ht="12.75" customHeight="1">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ht="12.75" customHeight="1">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ht="12.75" customHeight="1">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ht="12.75" customHeight="1">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ht="12.75" customHeight="1">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ht="12.75" customHeight="1">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ht="12.75" customHeight="1">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ht="12.75" customHeight="1">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ht="12.75" customHeight="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ht="12.75" customHeight="1">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ht="12.75" customHeight="1">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ht="12.75" customHeight="1">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ht="12.75" customHeight="1">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ht="12.75" customHeight="1">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ht="12.75" customHeight="1">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ht="12.75" customHeight="1">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ht="12.75" customHeight="1">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ht="12.75" customHeight="1">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ht="12.75" customHeight="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ht="12.75" customHeight="1">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ht="12.75" customHeight="1">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ht="12.75" customHeight="1">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ht="12.75" customHeight="1">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ht="12.75" customHeight="1">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ht="12.75" customHeight="1">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ht="12.75" customHeight="1">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ht="12.75" customHeight="1">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ht="12.75" customHeight="1">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ht="12.75" customHeight="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ht="12.75" customHeight="1">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ht="12.75" customHeight="1">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ht="12.75" customHeight="1">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ht="12.75" customHeight="1">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ht="12.75" customHeight="1">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ht="12.75" customHeight="1">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ht="12.75" customHeight="1">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ht="12.75" customHeight="1">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ht="12.75" customHeight="1">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ht="12.75" customHeight="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ht="12.75" customHeight="1">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ht="12.75" customHeight="1">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ht="12.75" customHeight="1">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ht="12.75" customHeight="1">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ht="12.75" customHeight="1">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ht="12.75" customHeight="1">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ht="12.75" customHeight="1">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ht="12.75" customHeight="1">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ht="12.75" customHeight="1">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ht="12.75" customHeight="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ht="12.75" customHeight="1">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ht="12.75" customHeight="1">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ht="12.75" customHeight="1">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ht="12.75" customHeight="1">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ht="12.75" customHeight="1">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ht="12.75" customHeight="1">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ht="12.75" customHeight="1">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ht="12.75" customHeight="1">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ht="12.75" customHeight="1">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ht="12.75" customHeight="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ht="12.75" customHeight="1">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ht="12.75" customHeight="1">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ht="12.75" customHeight="1">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ht="12.75" customHeight="1">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ht="12.75" customHeight="1">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ht="12.75" customHeight="1">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ht="12.75" customHeight="1">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ht="12.75" customHeight="1">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ht="12.75" customHeight="1">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ht="12.75" customHeight="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ht="12.75" customHeight="1">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ht="12.75" customHeight="1">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ht="12.75" customHeight="1">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ht="12.75" customHeight="1">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ht="12.75" customHeight="1">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ht="12.75" customHeight="1">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ht="12.75" customHeight="1">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ht="12.75" customHeight="1">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ht="12.75" customHeight="1">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ht="12.75" customHeight="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ht="12.75" customHeight="1">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ht="12.75" customHeight="1">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ht="12.75" customHeight="1">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ht="12.75" customHeight="1">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ht="12.75" customHeight="1">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ht="12.75" customHeight="1">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ht="12.75" customHeight="1">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ht="12.75" customHeight="1">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ht="12.75" customHeight="1">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ht="12.75" customHeight="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ht="12.75" customHeight="1">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ht="12.75" customHeight="1">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ht="12.75" customHeight="1">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ht="12.75" customHeight="1">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ht="12.75" customHeight="1">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ht="12.75" customHeight="1">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ht="12.75" customHeight="1">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ht="12.75" customHeight="1">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ht="12.75" customHeight="1">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ht="12.75" customHeight="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ht="12.75" customHeight="1">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ht="12.75" customHeight="1">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ht="12.75" customHeight="1">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ht="12.75" customHeight="1">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ht="12.75" customHeight="1">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ht="12.75" customHeight="1">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ht="12.75" customHeight="1">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ht="12.75" customHeight="1">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ht="12.75" customHeight="1">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ht="12.75" customHeight="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ht="12.75" customHeight="1">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ht="12.75" customHeight="1">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ht="12.75" customHeight="1">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ht="12.75" customHeight="1">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ht="12.75" customHeight="1">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ht="12.75" customHeight="1">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ht="12.75" customHeight="1">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ht="12.75" customHeight="1">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ht="12.75" customHeight="1">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ht="12.75" customHeight="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ht="12.75" customHeight="1">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ht="12.75" customHeight="1">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ht="12.75" customHeight="1">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ht="12.75" customHeight="1">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ht="12.75" customHeight="1">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ht="12.75" customHeight="1">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ht="12.75" customHeight="1">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ht="12.75" customHeight="1">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ht="12.75" customHeight="1">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ht="12.75" customHeight="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ht="12.75" customHeight="1">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ht="12.75" customHeight="1">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ht="12.75" customHeight="1">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ht="12.75" customHeight="1">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ht="12.75" customHeight="1">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ht="12.75" customHeight="1">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ht="12.75" customHeight="1">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ht="12.75" customHeight="1">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ht="12.75" customHeight="1">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ht="12.75" customHeight="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ht="12.75" customHeight="1">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ht="12.75" customHeight="1">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ht="12.75" customHeight="1">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ht="12.75" customHeight="1">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ht="12.75" customHeight="1">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ht="12.75" customHeight="1">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ht="12.75" customHeight="1">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ht="12.75" customHeight="1">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ht="12.75" customHeight="1">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ht="12.75" customHeight="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ht="12.75" customHeight="1">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ht="12.75" customHeight="1">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ht="12.75" customHeight="1">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ht="12.75" customHeight="1">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ht="12.75" customHeight="1">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ht="12.75" customHeight="1">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ht="12.75" customHeight="1">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ht="12.75" customHeight="1">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ht="12.75" customHeight="1">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ht="12.75" customHeight="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ht="12.75" customHeight="1">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ht="12.75" customHeight="1">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ht="12.75" customHeight="1">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ht="12.75" customHeight="1">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ht="12.75" customHeight="1">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ht="12.75" customHeight="1">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ht="12.75" customHeight="1">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ht="12.75" customHeight="1">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ht="12.75" customHeight="1">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ht="12.75" customHeight="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ht="12.75" customHeight="1">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ht="12.75" customHeight="1">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ht="12.75" customHeight="1">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ht="12.75" customHeight="1">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ht="12.75" customHeight="1">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ht="12.75" customHeight="1">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ht="12.75" customHeight="1">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ht="12.75" customHeight="1">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ht="12.75" customHeight="1">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ht="12.75" customHeight="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ht="12.75" customHeight="1">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ht="12.75" customHeight="1">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ht="12.75" customHeight="1">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ht="12.75" customHeight="1">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ht="12.75" customHeight="1">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ht="12.75" customHeight="1">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ht="12.75" customHeight="1">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ht="12.75" customHeight="1">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ht="12.75" customHeight="1">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ht="12.75" customHeight="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ht="12.75" customHeight="1">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ht="12.75" customHeight="1">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ht="12.75" customHeight="1">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ht="12.75" customHeight="1">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ht="12.75" customHeight="1">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ht="12.75" customHeight="1">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ht="12.75" customHeight="1">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ht="12.75" customHeight="1">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ht="12.75" customHeight="1">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ht="12.75" customHeight="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ht="12.75" customHeight="1">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ht="12.75" customHeight="1">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ht="12.75" customHeight="1">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ht="12.75" customHeight="1">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ht="12.75" customHeight="1">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ht="12.75" customHeight="1">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ht="12.75" customHeight="1">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ht="12.75" customHeight="1">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ht="12.75" customHeight="1">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ht="12.75" customHeight="1">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ht="12.75" customHeight="1">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ht="12.75" customHeight="1">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ht="12.75" customHeight="1">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ht="12.75" customHeight="1">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ht="12.75" customHeight="1">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ht="12.75" customHeight="1">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row r="998" ht="12.75" customHeight="1">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row>
    <row r="999" ht="12.75" customHeight="1">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row>
    <row r="1000" ht="12.75" customHeight="1">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row>
  </sheetData>
  <mergeCells count="1">
    <mergeCell ref="L5:O5"/>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22.14"/>
    <col customWidth="1" min="3" max="3" width="26.57"/>
    <col customWidth="1" min="4" max="4" width="21.71"/>
    <col customWidth="1" min="5" max="5" width="14.71"/>
    <col customWidth="1" min="7" max="7" width="36.43"/>
    <col customWidth="1" min="8" max="8" width="31.14"/>
    <col customWidth="1" min="9" max="9" width="17.0"/>
  </cols>
  <sheetData>
    <row r="2">
      <c r="A2" s="166" t="s">
        <v>362</v>
      </c>
      <c r="B2" s="167"/>
      <c r="C2" s="167"/>
      <c r="D2" s="167"/>
      <c r="E2" s="167"/>
      <c r="G2" s="166" t="s">
        <v>363</v>
      </c>
      <c r="H2" s="167"/>
      <c r="J2" s="4" t="s">
        <v>364</v>
      </c>
      <c r="K2" s="4" t="s">
        <v>365</v>
      </c>
    </row>
    <row r="3">
      <c r="A3" s="168" t="s">
        <v>366</v>
      </c>
      <c r="B3" s="169" t="s">
        <v>367</v>
      </c>
      <c r="C3" s="169" t="s">
        <v>368</v>
      </c>
      <c r="D3" s="169" t="s">
        <v>369</v>
      </c>
      <c r="E3" s="169" t="s">
        <v>370</v>
      </c>
      <c r="G3" s="168" t="s">
        <v>371</v>
      </c>
      <c r="H3" s="169" t="s">
        <v>372</v>
      </c>
    </row>
    <row r="4">
      <c r="A4" s="170" t="s">
        <v>373</v>
      </c>
      <c r="B4" s="171" t="s">
        <v>374</v>
      </c>
      <c r="C4" s="171" t="s">
        <v>375</v>
      </c>
      <c r="D4" s="171" t="s">
        <v>376</v>
      </c>
      <c r="E4" s="171" t="s">
        <v>377</v>
      </c>
      <c r="G4" s="170" t="s">
        <v>378</v>
      </c>
      <c r="H4" s="172" t="s">
        <v>379</v>
      </c>
      <c r="I4" s="4" t="s">
        <v>380</v>
      </c>
      <c r="J4" s="26" t="s">
        <v>381</v>
      </c>
      <c r="K4" s="26" t="s">
        <v>382</v>
      </c>
    </row>
    <row r="5">
      <c r="A5" s="170" t="s">
        <v>383</v>
      </c>
      <c r="B5" s="171" t="s">
        <v>384</v>
      </c>
      <c r="C5" s="171" t="s">
        <v>385</v>
      </c>
      <c r="D5" s="171" t="s">
        <v>386</v>
      </c>
      <c r="E5" s="171" t="s">
        <v>387</v>
      </c>
      <c r="G5" s="170" t="s">
        <v>388</v>
      </c>
      <c r="H5" s="172" t="s">
        <v>389</v>
      </c>
      <c r="I5" s="4" t="s">
        <v>390</v>
      </c>
      <c r="J5" s="26" t="s">
        <v>379</v>
      </c>
      <c r="K5" s="26" t="s">
        <v>391</v>
      </c>
    </row>
    <row r="6">
      <c r="A6" s="170" t="s">
        <v>392</v>
      </c>
      <c r="B6" s="171" t="s">
        <v>393</v>
      </c>
      <c r="C6" s="171" t="s">
        <v>394</v>
      </c>
      <c r="D6" s="171" t="s">
        <v>376</v>
      </c>
      <c r="E6" s="171" t="s">
        <v>395</v>
      </c>
      <c r="G6" s="170" t="s">
        <v>396</v>
      </c>
      <c r="H6" s="173" t="s">
        <v>397</v>
      </c>
    </row>
    <row r="7">
      <c r="A7" s="170" t="s">
        <v>398</v>
      </c>
      <c r="B7" s="171" t="s">
        <v>399</v>
      </c>
      <c r="C7" s="171" t="s">
        <v>400</v>
      </c>
      <c r="D7" s="171" t="s">
        <v>387</v>
      </c>
      <c r="E7" s="171" t="s">
        <v>377</v>
      </c>
      <c r="G7" s="170" t="s">
        <v>401</v>
      </c>
      <c r="H7" s="172" t="s">
        <v>381</v>
      </c>
    </row>
    <row r="8">
      <c r="A8" s="170" t="s">
        <v>402</v>
      </c>
      <c r="B8" s="171" t="s">
        <v>374</v>
      </c>
      <c r="C8" s="171" t="s">
        <v>403</v>
      </c>
      <c r="D8" s="171" t="s">
        <v>404</v>
      </c>
      <c r="E8" s="171" t="s">
        <v>405</v>
      </c>
      <c r="G8" s="170" t="s">
        <v>406</v>
      </c>
      <c r="H8" s="172" t="s">
        <v>407</v>
      </c>
    </row>
    <row r="9">
      <c r="A9" s="170" t="s">
        <v>408</v>
      </c>
      <c r="B9" s="171" t="s">
        <v>374</v>
      </c>
      <c r="C9" s="171" t="s">
        <v>403</v>
      </c>
      <c r="D9" s="171" t="s">
        <v>405</v>
      </c>
      <c r="E9" s="171" t="s">
        <v>409</v>
      </c>
      <c r="G9" s="170" t="s">
        <v>410</v>
      </c>
      <c r="H9" s="172" t="s">
        <v>411</v>
      </c>
    </row>
    <row r="10">
      <c r="G10" s="170" t="s">
        <v>412</v>
      </c>
      <c r="H10" s="172" t="s">
        <v>389</v>
      </c>
    </row>
    <row r="11">
      <c r="G11" s="170" t="s">
        <v>413</v>
      </c>
      <c r="H11" s="172" t="s">
        <v>414</v>
      </c>
    </row>
    <row r="12">
      <c r="G12" s="170" t="s">
        <v>415</v>
      </c>
      <c r="H12" s="172" t="s">
        <v>416</v>
      </c>
    </row>
    <row r="13">
      <c r="B13" s="166" t="s">
        <v>417</v>
      </c>
      <c r="C13" s="167"/>
      <c r="D13" s="167"/>
      <c r="G13" s="170" t="s">
        <v>418</v>
      </c>
      <c r="H13" s="172" t="s">
        <v>381</v>
      </c>
    </row>
    <row r="14">
      <c r="B14" s="168" t="s">
        <v>351</v>
      </c>
      <c r="C14" s="174" t="s">
        <v>419</v>
      </c>
      <c r="D14" s="175" t="s">
        <v>420</v>
      </c>
      <c r="G14" s="170" t="s">
        <v>421</v>
      </c>
      <c r="H14" s="173" t="s">
        <v>422</v>
      </c>
    </row>
    <row r="15">
      <c r="B15" s="176" t="s">
        <v>423</v>
      </c>
      <c r="C15" s="173" t="s">
        <v>424</v>
      </c>
      <c r="D15" s="173" t="s">
        <v>425</v>
      </c>
      <c r="G15" s="170" t="s">
        <v>426</v>
      </c>
      <c r="H15" s="172" t="s">
        <v>427</v>
      </c>
    </row>
    <row r="16">
      <c r="B16" s="176" t="s">
        <v>428</v>
      </c>
      <c r="C16" s="173">
        <v>3.0</v>
      </c>
      <c r="D16" s="173" t="s">
        <v>40</v>
      </c>
      <c r="G16" s="170" t="s">
        <v>429</v>
      </c>
      <c r="H16" s="172" t="s">
        <v>389</v>
      </c>
    </row>
    <row r="17">
      <c r="B17" s="176" t="s">
        <v>430</v>
      </c>
      <c r="C17" s="173">
        <v>4.0</v>
      </c>
      <c r="D17" s="173" t="s">
        <v>42</v>
      </c>
    </row>
    <row r="18">
      <c r="B18" s="176" t="s">
        <v>431</v>
      </c>
      <c r="C18" s="173">
        <v>5.0</v>
      </c>
      <c r="D18" s="173" t="s">
        <v>46</v>
      </c>
      <c r="G18" s="166" t="s">
        <v>432</v>
      </c>
      <c r="H18" s="167"/>
    </row>
    <row r="19">
      <c r="B19" s="170" t="s">
        <v>433</v>
      </c>
      <c r="C19" s="173" t="s">
        <v>434</v>
      </c>
      <c r="D19" s="173" t="s">
        <v>435</v>
      </c>
      <c r="G19" s="168" t="s">
        <v>371</v>
      </c>
      <c r="H19" s="169" t="s">
        <v>372</v>
      </c>
    </row>
    <row r="20">
      <c r="B20" s="170" t="s">
        <v>408</v>
      </c>
      <c r="C20" s="173" t="s">
        <v>434</v>
      </c>
      <c r="D20" s="173" t="s">
        <v>435</v>
      </c>
      <c r="G20" s="170" t="s">
        <v>429</v>
      </c>
      <c r="H20" s="173">
        <f>+4</f>
        <v>4</v>
      </c>
      <c r="I20" s="4" t="s">
        <v>380</v>
      </c>
      <c r="J20" s="26" t="s">
        <v>416</v>
      </c>
      <c r="K20" s="26" t="s">
        <v>381</v>
      </c>
    </row>
    <row r="21">
      <c r="B21" s="177" t="s">
        <v>436</v>
      </c>
      <c r="C21" s="178"/>
      <c r="D21" s="178"/>
      <c r="G21" s="170" t="s">
        <v>437</v>
      </c>
      <c r="H21" s="172" t="s">
        <v>407</v>
      </c>
      <c r="I21" s="4" t="s">
        <v>390</v>
      </c>
      <c r="J21" s="26" t="s">
        <v>389</v>
      </c>
      <c r="K21" s="26" t="s">
        <v>414</v>
      </c>
    </row>
    <row r="22">
      <c r="B22" s="179" t="s">
        <v>438</v>
      </c>
      <c r="G22" s="170" t="s">
        <v>439</v>
      </c>
      <c r="H22" s="172" t="s">
        <v>416</v>
      </c>
    </row>
    <row r="23">
      <c r="G23" s="170" t="s">
        <v>396</v>
      </c>
      <c r="H23" s="173" t="s">
        <v>397</v>
      </c>
    </row>
    <row r="24">
      <c r="B24" s="166" t="s">
        <v>440</v>
      </c>
      <c r="C24" s="167"/>
      <c r="D24" s="167"/>
      <c r="G24" s="170" t="s">
        <v>441</v>
      </c>
      <c r="H24" s="173" t="s">
        <v>422</v>
      </c>
    </row>
    <row r="25">
      <c r="B25" s="168" t="s">
        <v>442</v>
      </c>
      <c r="C25" s="175" t="s">
        <v>443</v>
      </c>
      <c r="D25" s="175" t="s">
        <v>444</v>
      </c>
      <c r="G25" s="170" t="s">
        <v>445</v>
      </c>
      <c r="H25" s="172" t="s">
        <v>446</v>
      </c>
    </row>
    <row r="26">
      <c r="B26" s="170" t="s">
        <v>447</v>
      </c>
      <c r="C26" s="172" t="s">
        <v>379</v>
      </c>
      <c r="D26" s="172" t="s">
        <v>379</v>
      </c>
      <c r="G26" s="170" t="s">
        <v>448</v>
      </c>
      <c r="H26" s="172" t="s">
        <v>449</v>
      </c>
    </row>
    <row r="27">
      <c r="B27" s="170" t="s">
        <v>450</v>
      </c>
      <c r="C27" s="172" t="s">
        <v>414</v>
      </c>
      <c r="D27" s="172" t="s">
        <v>381</v>
      </c>
      <c r="G27" s="176" t="s">
        <v>451</v>
      </c>
      <c r="H27" s="172" t="s">
        <v>452</v>
      </c>
    </row>
    <row r="28">
      <c r="B28" s="170" t="s">
        <v>453</v>
      </c>
      <c r="C28" s="172" t="s">
        <v>381</v>
      </c>
      <c r="D28" s="173">
        <v>0.0</v>
      </c>
      <c r="G28" s="170" t="s">
        <v>454</v>
      </c>
      <c r="H28" s="172" t="s">
        <v>407</v>
      </c>
    </row>
    <row r="29">
      <c r="B29" s="170" t="s">
        <v>455</v>
      </c>
      <c r="C29" s="172" t="s">
        <v>381</v>
      </c>
      <c r="D29" s="172" t="s">
        <v>381</v>
      </c>
      <c r="G29" s="170" t="s">
        <v>456</v>
      </c>
      <c r="H29" s="172" t="s">
        <v>457</v>
      </c>
    </row>
    <row r="30">
      <c r="B30" s="170" t="s">
        <v>458</v>
      </c>
      <c r="C30" s="172" t="s">
        <v>381</v>
      </c>
      <c r="D30" s="173">
        <v>0.0</v>
      </c>
      <c r="G30" s="180" t="s">
        <v>459</v>
      </c>
      <c r="H30" s="178"/>
    </row>
    <row r="31">
      <c r="B31" s="170" t="s">
        <v>460</v>
      </c>
      <c r="C31" s="172" t="s">
        <v>389</v>
      </c>
      <c r="D31" s="172" t="s">
        <v>381</v>
      </c>
      <c r="G31" s="181" t="s">
        <v>461</v>
      </c>
    </row>
    <row r="32">
      <c r="B32" s="170" t="s">
        <v>462</v>
      </c>
      <c r="C32" s="172" t="s">
        <v>414</v>
      </c>
      <c r="D32" s="172" t="s">
        <v>389</v>
      </c>
      <c r="G32" s="181" t="s">
        <v>463</v>
      </c>
    </row>
    <row r="33">
      <c r="B33" s="182" t="s">
        <v>464</v>
      </c>
      <c r="C33" s="178"/>
      <c r="D33" s="178"/>
    </row>
    <row r="34">
      <c r="G34" s="166" t="s">
        <v>465</v>
      </c>
      <c r="H34" s="167"/>
      <c r="I34" s="167"/>
    </row>
    <row r="35">
      <c r="A35" s="166" t="s">
        <v>466</v>
      </c>
      <c r="B35" s="167"/>
      <c r="C35" s="167"/>
      <c r="D35" s="167"/>
      <c r="G35" s="168" t="s">
        <v>442</v>
      </c>
      <c r="H35" s="183"/>
      <c r="I35" s="169" t="s">
        <v>372</v>
      </c>
    </row>
    <row r="36">
      <c r="A36" s="168" t="s">
        <v>467</v>
      </c>
      <c r="B36" s="169" t="s">
        <v>468</v>
      </c>
      <c r="C36" s="169" t="s">
        <v>469</v>
      </c>
      <c r="D36" s="169" t="s">
        <v>470</v>
      </c>
      <c r="G36" s="184" t="s">
        <v>471</v>
      </c>
      <c r="H36" s="183"/>
      <c r="I36" s="172" t="s">
        <v>407</v>
      </c>
    </row>
    <row r="37">
      <c r="A37" s="170" t="s">
        <v>58</v>
      </c>
      <c r="B37" s="172" t="s">
        <v>416</v>
      </c>
      <c r="C37" s="172" t="s">
        <v>407</v>
      </c>
      <c r="D37" s="173" t="s">
        <v>472</v>
      </c>
      <c r="G37" s="184" t="s">
        <v>473</v>
      </c>
      <c r="H37" s="183"/>
      <c r="I37" s="173" t="s">
        <v>474</v>
      </c>
    </row>
    <row r="38">
      <c r="A38" s="170" t="s">
        <v>283</v>
      </c>
      <c r="B38" s="172" t="s">
        <v>381</v>
      </c>
      <c r="C38" s="172" t="s">
        <v>457</v>
      </c>
      <c r="D38" s="185">
        <v>0.25</v>
      </c>
      <c r="G38" s="184" t="s">
        <v>475</v>
      </c>
      <c r="H38" s="183"/>
      <c r="I38" s="183"/>
    </row>
    <row r="39">
      <c r="A39" s="170" t="s">
        <v>284</v>
      </c>
      <c r="B39" s="172" t="s">
        <v>382</v>
      </c>
      <c r="C39" s="172" t="s">
        <v>476</v>
      </c>
      <c r="D39" s="185">
        <v>0.5</v>
      </c>
      <c r="G39" s="186"/>
      <c r="H39" s="171" t="s">
        <v>477</v>
      </c>
      <c r="I39" s="172" t="s">
        <v>381</v>
      </c>
    </row>
    <row r="40">
      <c r="G40" s="186"/>
      <c r="H40" s="171" t="s">
        <v>478</v>
      </c>
      <c r="I40" s="172" t="s">
        <v>389</v>
      </c>
    </row>
    <row r="41">
      <c r="C41" s="166" t="s">
        <v>479</v>
      </c>
      <c r="D41" s="167"/>
      <c r="G41" s="184" t="s">
        <v>480</v>
      </c>
      <c r="H41" s="183"/>
      <c r="I41" s="183"/>
    </row>
    <row r="42">
      <c r="C42" s="168" t="s">
        <v>481</v>
      </c>
      <c r="D42" s="169" t="s">
        <v>482</v>
      </c>
      <c r="G42" s="186"/>
      <c r="H42" s="171" t="s">
        <v>483</v>
      </c>
      <c r="I42" s="172" t="s">
        <v>407</v>
      </c>
    </row>
    <row r="43">
      <c r="C43" s="187">
        <v>10.0</v>
      </c>
      <c r="D43" s="173" t="s">
        <v>484</v>
      </c>
      <c r="G43" s="186"/>
      <c r="H43" s="171" t="s">
        <v>485</v>
      </c>
      <c r="I43" s="173">
        <v>0.0</v>
      </c>
    </row>
    <row r="44">
      <c r="C44" s="188">
        <v>45626.0</v>
      </c>
      <c r="D44" s="173" t="s">
        <v>486</v>
      </c>
      <c r="G44" s="186"/>
      <c r="H44" s="171" t="s">
        <v>487</v>
      </c>
      <c r="I44" s="172" t="s">
        <v>416</v>
      </c>
    </row>
    <row r="45">
      <c r="C45" s="184" t="s">
        <v>488</v>
      </c>
      <c r="D45" s="173" t="s">
        <v>489</v>
      </c>
      <c r="G45" s="186"/>
      <c r="H45" s="171" t="s">
        <v>490</v>
      </c>
      <c r="I45" s="172" t="s">
        <v>382</v>
      </c>
    </row>
    <row r="46">
      <c r="C46" s="184" t="s">
        <v>491</v>
      </c>
      <c r="D46" s="173" t="s">
        <v>492</v>
      </c>
      <c r="G46" s="184" t="s">
        <v>493</v>
      </c>
      <c r="H46" s="183"/>
      <c r="I46" s="172" t="s">
        <v>494</v>
      </c>
    </row>
    <row r="48">
      <c r="G48" s="166" t="s">
        <v>495</v>
      </c>
      <c r="H48" s="167"/>
      <c r="I48" s="167"/>
    </row>
    <row r="49">
      <c r="G49" s="168" t="s">
        <v>442</v>
      </c>
      <c r="H49" s="183"/>
      <c r="I49" s="169" t="s">
        <v>372</v>
      </c>
    </row>
    <row r="50">
      <c r="G50" s="184" t="s">
        <v>496</v>
      </c>
      <c r="H50" s="183"/>
      <c r="I50" s="172" t="s">
        <v>497</v>
      </c>
    </row>
    <row r="51">
      <c r="G51" s="184" t="s">
        <v>498</v>
      </c>
      <c r="H51" s="183"/>
      <c r="I51" s="172" t="s">
        <v>497</v>
      </c>
    </row>
    <row r="52">
      <c r="G52" s="184" t="s">
        <v>480</v>
      </c>
      <c r="H52" s="183"/>
      <c r="I52" s="183"/>
    </row>
    <row r="53">
      <c r="G53" s="189"/>
      <c r="H53" s="190" t="s">
        <v>483</v>
      </c>
      <c r="I53" s="172" t="s">
        <v>407</v>
      </c>
    </row>
    <row r="54">
      <c r="G54" s="189"/>
      <c r="H54" s="190" t="s">
        <v>485</v>
      </c>
      <c r="I54" s="173">
        <v>0.0</v>
      </c>
    </row>
    <row r="55">
      <c r="G55" s="189"/>
      <c r="H55" s="190" t="s">
        <v>487</v>
      </c>
      <c r="I55" s="172" t="s">
        <v>416</v>
      </c>
    </row>
    <row r="56">
      <c r="G56" s="189"/>
      <c r="H56" s="190" t="s">
        <v>490</v>
      </c>
      <c r="I56" s="172" t="s">
        <v>382</v>
      </c>
    </row>
    <row r="57">
      <c r="G57" s="184" t="s">
        <v>499</v>
      </c>
      <c r="H57" s="191"/>
      <c r="I57" s="183"/>
    </row>
    <row r="58">
      <c r="G58" s="189"/>
      <c r="H58" s="192">
        <v>45301.0</v>
      </c>
      <c r="I58" s="173">
        <v>0.0</v>
      </c>
    </row>
    <row r="59">
      <c r="G59" s="189"/>
      <c r="H59" s="192">
        <v>45626.0</v>
      </c>
      <c r="I59" s="172" t="s">
        <v>416</v>
      </c>
    </row>
    <row r="60">
      <c r="G60" s="189"/>
      <c r="H60" s="190" t="s">
        <v>488</v>
      </c>
      <c r="I60" s="172" t="s">
        <v>381</v>
      </c>
    </row>
    <row r="61">
      <c r="G61" s="189"/>
      <c r="H61" s="190" t="s">
        <v>491</v>
      </c>
      <c r="I61" s="172" t="s">
        <v>382</v>
      </c>
    </row>
  </sheetData>
  <mergeCells count="9">
    <mergeCell ref="G34:I34"/>
    <mergeCell ref="G48:I48"/>
    <mergeCell ref="A2:E2"/>
    <mergeCell ref="G2:H2"/>
    <mergeCell ref="B13:D13"/>
    <mergeCell ref="G18:H18"/>
    <mergeCell ref="B24:D24"/>
    <mergeCell ref="A35:D35"/>
    <mergeCell ref="C41:D4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0.14"/>
    <col customWidth="1" min="3" max="4" width="8.71"/>
    <col customWidth="1" min="5" max="5" width="14.0"/>
    <col customWidth="1" min="6" max="8" width="8.71"/>
    <col customWidth="1" min="9" max="9" width="11.86"/>
    <col customWidth="1" min="10" max="26" width="8.71"/>
  </cols>
  <sheetData>
    <row r="3">
      <c r="A3" s="193" t="s">
        <v>500</v>
      </c>
    </row>
    <row r="5">
      <c r="A5" s="5" t="s">
        <v>501</v>
      </c>
      <c r="D5" s="5" t="s">
        <v>502</v>
      </c>
      <c r="G5" s="5" t="s">
        <v>503</v>
      </c>
    </row>
    <row r="7">
      <c r="A7" s="2" t="s">
        <v>504</v>
      </c>
      <c r="D7" s="2" t="s">
        <v>505</v>
      </c>
      <c r="G7" s="2" t="s">
        <v>506</v>
      </c>
    </row>
    <row r="8">
      <c r="A8" s="2" t="s">
        <v>507</v>
      </c>
      <c r="D8" s="2" t="s">
        <v>508</v>
      </c>
      <c r="G8" s="2" t="s">
        <v>509</v>
      </c>
    </row>
    <row r="9">
      <c r="A9" s="2" t="s">
        <v>510</v>
      </c>
      <c r="D9" s="2" t="s">
        <v>511</v>
      </c>
      <c r="G9" s="2" t="s">
        <v>512</v>
      </c>
    </row>
    <row r="10">
      <c r="A10" s="2" t="s">
        <v>513</v>
      </c>
      <c r="D10" s="2" t="s">
        <v>514</v>
      </c>
      <c r="G10" s="2" t="s">
        <v>515</v>
      </c>
    </row>
    <row r="11">
      <c r="A11" s="2" t="s">
        <v>516</v>
      </c>
      <c r="D11" s="2" t="s">
        <v>517</v>
      </c>
      <c r="G11" s="2" t="s">
        <v>518</v>
      </c>
    </row>
    <row r="12">
      <c r="A12" s="2" t="s">
        <v>519</v>
      </c>
      <c r="D12" s="2" t="s">
        <v>520</v>
      </c>
      <c r="G12" s="2" t="s">
        <v>521</v>
      </c>
    </row>
    <row r="13">
      <c r="A13" s="2" t="s">
        <v>522</v>
      </c>
      <c r="D13" s="2" t="s">
        <v>523</v>
      </c>
      <c r="G13" s="2" t="s">
        <v>524</v>
      </c>
    </row>
    <row r="14">
      <c r="A14" s="2" t="s">
        <v>525</v>
      </c>
      <c r="D14" s="2" t="s">
        <v>526</v>
      </c>
      <c r="G14" s="2" t="s">
        <v>527</v>
      </c>
    </row>
    <row r="15">
      <c r="A15" s="2" t="s">
        <v>528</v>
      </c>
      <c r="D15" s="2" t="s">
        <v>529</v>
      </c>
      <c r="G15" s="2" t="s">
        <v>530</v>
      </c>
    </row>
    <row r="16">
      <c r="A16" s="2" t="s">
        <v>531</v>
      </c>
      <c r="D16" s="2" t="s">
        <v>532</v>
      </c>
      <c r="G16" s="2" t="s">
        <v>533</v>
      </c>
    </row>
    <row r="17">
      <c r="A17" s="2" t="s">
        <v>534</v>
      </c>
      <c r="D17" s="2" t="s">
        <v>535</v>
      </c>
      <c r="G17" s="2" t="s">
        <v>536</v>
      </c>
    </row>
    <row r="18">
      <c r="D18" s="2" t="s">
        <v>537</v>
      </c>
      <c r="G18" s="2" t="s">
        <v>538</v>
      </c>
    </row>
    <row r="19">
      <c r="D19" s="2" t="s">
        <v>539</v>
      </c>
      <c r="G19" s="2" t="s">
        <v>540</v>
      </c>
    </row>
    <row r="20">
      <c r="G20" s="4" t="s">
        <v>541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I3"/>
  </mergeCell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2" width="8.71"/>
    <col customWidth="1" min="13" max="13" width="46.14"/>
    <col customWidth="1" min="14" max="14" width="44.71"/>
    <col customWidth="1" min="15" max="26" width="8.71"/>
  </cols>
  <sheetData>
    <row r="3">
      <c r="A3" s="14" t="s">
        <v>542</v>
      </c>
      <c r="M3" s="194" t="s">
        <v>543</v>
      </c>
      <c r="N3" s="195"/>
      <c r="O3" s="5"/>
      <c r="P3" s="5"/>
      <c r="Q3" s="5"/>
      <c r="R3" s="5"/>
      <c r="S3" s="5"/>
      <c r="T3" s="5"/>
      <c r="U3" s="5"/>
      <c r="V3" s="5"/>
    </row>
    <row r="4">
      <c r="M4" s="196" t="s">
        <v>544</v>
      </c>
      <c r="N4" s="196" t="s">
        <v>545</v>
      </c>
    </row>
    <row r="5" ht="15.0" customHeight="1">
      <c r="A5" s="197" t="s">
        <v>546</v>
      </c>
      <c r="M5" s="198" t="s">
        <v>547</v>
      </c>
      <c r="N5" s="198" t="s">
        <v>548</v>
      </c>
    </row>
    <row r="6">
      <c r="M6" s="198" t="s">
        <v>549</v>
      </c>
      <c r="N6" s="198" t="s">
        <v>550</v>
      </c>
    </row>
    <row r="7">
      <c r="M7" s="198" t="s">
        <v>551</v>
      </c>
      <c r="N7" s="198" t="s">
        <v>552</v>
      </c>
    </row>
    <row r="8">
      <c r="M8" s="199"/>
      <c r="N8" s="199"/>
    </row>
    <row r="9">
      <c r="M9" s="199"/>
      <c r="N9" s="199"/>
    </row>
    <row r="10">
      <c r="M10" s="194" t="s">
        <v>553</v>
      </c>
      <c r="N10" s="195"/>
    </row>
    <row r="11">
      <c r="M11" s="196" t="s">
        <v>554</v>
      </c>
      <c r="N11" s="196" t="s">
        <v>311</v>
      </c>
    </row>
    <row r="12">
      <c r="M12" s="198" t="s">
        <v>555</v>
      </c>
      <c r="N12" s="200">
        <v>2.0</v>
      </c>
    </row>
    <row r="13">
      <c r="A13" s="197" t="s">
        <v>556</v>
      </c>
      <c r="M13" s="198" t="s">
        <v>557</v>
      </c>
      <c r="N13" s="200">
        <v>3.0</v>
      </c>
    </row>
    <row r="14">
      <c r="M14" s="198" t="s">
        <v>558</v>
      </c>
      <c r="N14" s="200">
        <v>6.0</v>
      </c>
    </row>
    <row r="15">
      <c r="M15" s="198" t="s">
        <v>559</v>
      </c>
      <c r="N15" s="200">
        <v>12.0</v>
      </c>
    </row>
    <row r="16">
      <c r="A16" s="197" t="s">
        <v>560</v>
      </c>
    </row>
    <row r="21" ht="15.75" customHeight="1">
      <c r="A21" s="14" t="s">
        <v>561</v>
      </c>
    </row>
    <row r="22" ht="15.75" customHeight="1"/>
    <row r="23" ht="15.75" customHeight="1">
      <c r="A23" s="197" t="s">
        <v>562</v>
      </c>
    </row>
    <row r="24" ht="15.75" customHeight="1"/>
    <row r="25" ht="15.75" customHeight="1"/>
    <row r="26" ht="15.75" customHeight="1"/>
    <row r="27" ht="15.75" customHeight="1"/>
    <row r="28" ht="15.75" customHeight="1"/>
    <row r="29" ht="15.75" customHeight="1">
      <c r="A29" s="14" t="s">
        <v>563</v>
      </c>
    </row>
    <row r="30" ht="15.75" customHeight="1"/>
    <row r="31" ht="15.75" customHeight="1">
      <c r="A31" s="197" t="s">
        <v>564</v>
      </c>
    </row>
    <row r="32" ht="15.75" customHeight="1"/>
    <row r="33" ht="15.75" customHeight="1"/>
    <row r="34" ht="15.75" customHeight="1"/>
    <row r="35" ht="15.75" customHeight="1"/>
    <row r="36" ht="15.75" customHeight="1">
      <c r="A36" s="197" t="s">
        <v>565</v>
      </c>
    </row>
    <row r="37" ht="15.75" customHeight="1"/>
    <row r="38" ht="15.75" customHeight="1"/>
    <row r="39" ht="15.75" customHeight="1">
      <c r="A39" s="197" t="s">
        <v>566</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23:J26"/>
    <mergeCell ref="A29:J29"/>
    <mergeCell ref="A31:J34"/>
    <mergeCell ref="A36:J37"/>
    <mergeCell ref="A39:J40"/>
    <mergeCell ref="A3:J3"/>
    <mergeCell ref="M3:N3"/>
    <mergeCell ref="A5:J11"/>
    <mergeCell ref="M10:N10"/>
    <mergeCell ref="A13:J14"/>
    <mergeCell ref="A16:J18"/>
    <mergeCell ref="A21:J21"/>
  </mergeCell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6.43"/>
    <col customWidth="1" min="3" max="3" width="19.43"/>
    <col customWidth="1" min="4" max="4" width="9.0"/>
    <col customWidth="1" min="5" max="5" width="9.29"/>
    <col customWidth="1" min="6" max="6" width="8.0"/>
    <col customWidth="1" min="7" max="7" width="8.71"/>
    <col customWidth="1" min="8" max="9" width="24.14"/>
    <col customWidth="1" min="10" max="13" width="12.0"/>
    <col customWidth="1" min="14" max="14" width="6.0"/>
    <col customWidth="1" min="15" max="15" width="9.29"/>
    <col customWidth="1" min="16" max="16" width="8.0"/>
    <col customWidth="1" min="17" max="22" width="8.71"/>
    <col customWidth="1" min="23" max="23" width="10.0"/>
    <col customWidth="1" min="24" max="24" width="9.86"/>
    <col customWidth="1" min="25" max="26" width="7.43"/>
    <col customWidth="1" min="27" max="27" width="5.57"/>
    <col customWidth="1" min="28" max="30" width="6.0"/>
    <col customWidth="1" min="31" max="33" width="8.71"/>
  </cols>
  <sheetData>
    <row r="1">
      <c r="F1" s="2">
        <v>5.0</v>
      </c>
      <c r="N1" s="14">
        <v>6.0</v>
      </c>
      <c r="R1" s="2" t="s">
        <v>567</v>
      </c>
      <c r="Z1" s="2">
        <v>4.0</v>
      </c>
    </row>
    <row r="2">
      <c r="B2" s="201" t="s">
        <v>302</v>
      </c>
      <c r="C2" s="202"/>
      <c r="D2" s="202"/>
      <c r="E2" s="202"/>
      <c r="F2" s="203"/>
      <c r="H2" s="201" t="s">
        <v>323</v>
      </c>
      <c r="I2" s="204"/>
      <c r="J2" s="204"/>
      <c r="K2" s="204"/>
      <c r="L2" s="204"/>
      <c r="M2" s="204"/>
      <c r="N2" s="205"/>
      <c r="R2" s="63" t="s">
        <v>304</v>
      </c>
      <c r="S2" s="64"/>
      <c r="T2" s="64"/>
      <c r="U2" s="72"/>
      <c r="W2" s="206" t="s">
        <v>318</v>
      </c>
      <c r="X2" s="204"/>
      <c r="Y2" s="204"/>
      <c r="Z2" s="207"/>
      <c r="AA2" s="31"/>
      <c r="AB2" s="31"/>
      <c r="AC2" s="31"/>
      <c r="AD2" s="31"/>
      <c r="AE2" s="27"/>
      <c r="AF2" s="27"/>
      <c r="AG2" s="27"/>
    </row>
    <row r="3">
      <c r="B3" s="208"/>
      <c r="C3" s="209" t="s">
        <v>336</v>
      </c>
      <c r="D3" s="209" t="s">
        <v>303</v>
      </c>
      <c r="E3" s="209"/>
      <c r="F3" s="210"/>
      <c r="H3" s="208" t="s">
        <v>281</v>
      </c>
      <c r="I3" s="209"/>
      <c r="J3" s="209"/>
      <c r="K3" s="209" t="s">
        <v>303</v>
      </c>
      <c r="L3" s="209" t="s">
        <v>324</v>
      </c>
      <c r="M3" s="209"/>
      <c r="N3" s="210"/>
      <c r="R3" s="73"/>
      <c r="S3" s="34"/>
      <c r="T3" s="34"/>
      <c r="U3" s="74"/>
      <c r="W3" s="211"/>
      <c r="X3" s="209" t="s">
        <v>308</v>
      </c>
      <c r="Y3" s="209" t="s">
        <v>306</v>
      </c>
      <c r="Z3" s="210" t="s">
        <v>307</v>
      </c>
      <c r="AA3" s="34"/>
      <c r="AB3" s="34"/>
      <c r="AC3" s="34"/>
      <c r="AD3" s="34"/>
      <c r="AE3" s="27"/>
      <c r="AF3" s="27"/>
      <c r="AG3" s="27"/>
    </row>
    <row r="4">
      <c r="B4" s="208" t="s">
        <v>281</v>
      </c>
      <c r="C4" s="209" t="s">
        <v>337</v>
      </c>
      <c r="D4" s="209" t="s">
        <v>311</v>
      </c>
      <c r="E4" s="209" t="s">
        <v>306</v>
      </c>
      <c r="F4" s="210" t="s">
        <v>307</v>
      </c>
      <c r="H4" s="208" t="s">
        <v>329</v>
      </c>
      <c r="I4" s="209"/>
      <c r="J4" s="209" t="s">
        <v>330</v>
      </c>
      <c r="K4" s="209" t="s">
        <v>311</v>
      </c>
      <c r="L4" s="209" t="s">
        <v>325</v>
      </c>
      <c r="M4" s="209" t="s">
        <v>306</v>
      </c>
      <c r="N4" s="210" t="s">
        <v>307</v>
      </c>
      <c r="R4" s="73" t="s">
        <v>281</v>
      </c>
      <c r="S4" s="34"/>
      <c r="T4" s="34"/>
      <c r="U4" s="74" t="s">
        <v>311</v>
      </c>
      <c r="W4" s="208" t="s">
        <v>326</v>
      </c>
      <c r="X4" s="209" t="s">
        <v>327</v>
      </c>
      <c r="Y4" s="209" t="s">
        <v>327</v>
      </c>
      <c r="Z4" s="210" t="s">
        <v>327</v>
      </c>
      <c r="AA4" s="27"/>
      <c r="AB4" s="27"/>
      <c r="AC4" s="27"/>
      <c r="AD4" s="27"/>
      <c r="AE4" s="27"/>
      <c r="AF4" s="27"/>
      <c r="AG4" s="27"/>
    </row>
    <row r="5">
      <c r="B5" s="212" t="s">
        <v>313</v>
      </c>
      <c r="C5" s="213" t="s">
        <v>568</v>
      </c>
      <c r="D5" s="213"/>
      <c r="E5" s="213"/>
      <c r="F5" s="214">
        <f t="shared" ref="F5:F8" si="1">SUM(D5:E5)</f>
        <v>0</v>
      </c>
      <c r="H5" s="208"/>
      <c r="I5" s="209"/>
      <c r="J5" s="209"/>
      <c r="K5" s="209"/>
      <c r="L5" s="209"/>
      <c r="M5" s="209"/>
      <c r="N5" s="210">
        <f t="shared" ref="N5:N28" si="2">SUM(K5:M5)</f>
        <v>0</v>
      </c>
      <c r="R5" s="70"/>
      <c r="S5" s="69"/>
      <c r="T5" s="69"/>
      <c r="U5" s="71"/>
      <c r="W5" s="215"/>
      <c r="X5" s="216"/>
      <c r="Y5" s="216"/>
      <c r="Z5" s="217">
        <f>SUM(X5:Y5)</f>
        <v>0</v>
      </c>
      <c r="AA5" s="27"/>
      <c r="AB5" s="27"/>
      <c r="AC5" s="27"/>
      <c r="AD5" s="27"/>
      <c r="AE5" s="27"/>
      <c r="AF5" s="27"/>
      <c r="AG5" s="27"/>
    </row>
    <row r="6">
      <c r="B6" s="212" t="s">
        <v>339</v>
      </c>
      <c r="C6" s="213" t="s">
        <v>340</v>
      </c>
      <c r="D6" s="213"/>
      <c r="E6" s="213"/>
      <c r="F6" s="214">
        <f t="shared" si="1"/>
        <v>0</v>
      </c>
      <c r="H6" s="212"/>
      <c r="I6" s="213"/>
      <c r="J6" s="213"/>
      <c r="K6" s="213"/>
      <c r="L6" s="213"/>
      <c r="M6" s="213"/>
      <c r="N6" s="218">
        <f t="shared" si="2"/>
        <v>0</v>
      </c>
      <c r="R6" s="70"/>
      <c r="S6" s="69"/>
      <c r="T6" s="69"/>
      <c r="U6" s="71"/>
      <c r="W6" s="219"/>
      <c r="X6" s="27"/>
      <c r="Y6" s="27"/>
      <c r="Z6" s="27"/>
      <c r="AA6" s="27"/>
      <c r="AB6" s="27"/>
      <c r="AC6" s="27"/>
      <c r="AD6" s="27"/>
      <c r="AE6" s="27"/>
      <c r="AF6" s="27"/>
      <c r="AG6" s="27"/>
    </row>
    <row r="7">
      <c r="B7" s="212" t="s">
        <v>341</v>
      </c>
      <c r="C7" s="213" t="s">
        <v>342</v>
      </c>
      <c r="D7" s="213"/>
      <c r="E7" s="213"/>
      <c r="F7" s="214">
        <f t="shared" si="1"/>
        <v>0</v>
      </c>
      <c r="H7" s="220"/>
      <c r="I7" s="221"/>
      <c r="J7" s="221"/>
      <c r="K7" s="221"/>
      <c r="L7" s="221"/>
      <c r="M7" s="221"/>
      <c r="N7" s="222">
        <f t="shared" si="2"/>
        <v>0</v>
      </c>
      <c r="R7" s="70"/>
      <c r="S7" s="69"/>
      <c r="T7" s="69"/>
      <c r="U7" s="71"/>
      <c r="W7" s="206" t="s">
        <v>301</v>
      </c>
      <c r="X7" s="223"/>
      <c r="Y7" s="202"/>
      <c r="Z7" s="203"/>
      <c r="AA7" s="27"/>
      <c r="AB7" s="27"/>
      <c r="AC7" s="27"/>
      <c r="AD7" s="27"/>
      <c r="AE7" s="27"/>
      <c r="AF7" s="27"/>
      <c r="AG7" s="27"/>
    </row>
    <row r="8">
      <c r="B8" s="224" t="s">
        <v>343</v>
      </c>
      <c r="C8" s="216" t="s">
        <v>344</v>
      </c>
      <c r="D8" s="216"/>
      <c r="E8" s="216"/>
      <c r="F8" s="225">
        <f t="shared" si="1"/>
        <v>0</v>
      </c>
      <c r="H8" s="212"/>
      <c r="I8" s="213"/>
      <c r="J8" s="213"/>
      <c r="K8" s="213"/>
      <c r="L8" s="213"/>
      <c r="M8" s="213"/>
      <c r="N8" s="218">
        <f t="shared" si="2"/>
        <v>0</v>
      </c>
      <c r="R8" s="70"/>
      <c r="S8" s="69"/>
      <c r="T8" s="69"/>
      <c r="U8" s="71"/>
      <c r="W8" s="208" t="s">
        <v>333</v>
      </c>
      <c r="X8" s="209" t="s">
        <v>301</v>
      </c>
      <c r="Y8" s="209" t="s">
        <v>307</v>
      </c>
      <c r="Z8" s="210" t="s">
        <v>301</v>
      </c>
      <c r="AA8" s="27"/>
      <c r="AB8" s="27"/>
      <c r="AC8" s="27"/>
      <c r="AD8" s="27"/>
      <c r="AE8" s="27"/>
      <c r="AF8" s="226"/>
    </row>
    <row r="9">
      <c r="H9" s="220"/>
      <c r="I9" s="221"/>
      <c r="J9" s="221"/>
      <c r="K9" s="221"/>
      <c r="L9" s="221"/>
      <c r="M9" s="221"/>
      <c r="N9" s="222">
        <f t="shared" si="2"/>
        <v>0</v>
      </c>
      <c r="R9" s="70"/>
      <c r="S9" s="69"/>
      <c r="T9" s="69"/>
      <c r="U9" s="71"/>
      <c r="W9" s="208" t="s">
        <v>301</v>
      </c>
      <c r="X9" s="209" t="s">
        <v>334</v>
      </c>
      <c r="Y9" s="209" t="s">
        <v>301</v>
      </c>
      <c r="Z9" s="210" t="s">
        <v>335</v>
      </c>
      <c r="AA9" s="27"/>
      <c r="AB9" s="27"/>
      <c r="AC9" s="27"/>
      <c r="AD9" s="27"/>
      <c r="AE9" s="27"/>
    </row>
    <row r="10">
      <c r="B10" s="227" t="s">
        <v>231</v>
      </c>
      <c r="C10" s="228"/>
      <c r="D10" s="228"/>
      <c r="E10" s="228"/>
      <c r="F10" s="229"/>
      <c r="H10" s="212"/>
      <c r="I10" s="213"/>
      <c r="J10" s="213"/>
      <c r="K10" s="213"/>
      <c r="L10" s="213"/>
      <c r="M10" s="213"/>
      <c r="N10" s="218">
        <f t="shared" si="2"/>
        <v>0</v>
      </c>
      <c r="R10" s="70"/>
      <c r="S10" s="69"/>
      <c r="T10" s="69"/>
      <c r="U10" s="71"/>
      <c r="W10" s="230"/>
      <c r="X10" s="231"/>
      <c r="Y10" s="231">
        <f>SUM(W10:X10)</f>
        <v>0</v>
      </c>
      <c r="Z10" s="232">
        <f>ROUNDDOWN((Y10/10),)</f>
        <v>0</v>
      </c>
      <c r="AA10" s="27"/>
      <c r="AB10" s="27"/>
      <c r="AC10" s="27"/>
      <c r="AD10" s="27"/>
      <c r="AE10" s="27"/>
    </row>
    <row r="11">
      <c r="B11" s="233" t="s">
        <v>281</v>
      </c>
      <c r="C11" s="234" t="s">
        <v>53</v>
      </c>
      <c r="D11" s="234" t="s">
        <v>54</v>
      </c>
      <c r="E11" s="234" t="s">
        <v>55</v>
      </c>
      <c r="F11" s="235" t="s">
        <v>56</v>
      </c>
      <c r="H11" s="220"/>
      <c r="I11" s="221"/>
      <c r="J11" s="221"/>
      <c r="K11" s="221"/>
      <c r="L11" s="221"/>
      <c r="M11" s="221"/>
      <c r="N11" s="222">
        <f t="shared" si="2"/>
        <v>0</v>
      </c>
      <c r="R11" s="70"/>
      <c r="S11" s="69"/>
      <c r="T11" s="69"/>
      <c r="U11" s="71"/>
      <c r="W11" s="219"/>
      <c r="X11" s="27"/>
      <c r="Y11" s="27"/>
      <c r="Z11" s="27"/>
      <c r="AA11" s="27"/>
      <c r="AB11" s="27"/>
      <c r="AC11" s="27"/>
      <c r="AD11" s="27"/>
      <c r="AE11" s="27"/>
    </row>
    <row r="12">
      <c r="B12" s="233"/>
      <c r="C12" s="234" t="s">
        <v>60</v>
      </c>
      <c r="D12" s="234"/>
      <c r="E12" s="234"/>
      <c r="F12" s="235"/>
      <c r="H12" s="212"/>
      <c r="I12" s="213"/>
      <c r="J12" s="213"/>
      <c r="K12" s="213"/>
      <c r="L12" s="213"/>
      <c r="M12" s="213"/>
      <c r="N12" s="218">
        <f t="shared" si="2"/>
        <v>0</v>
      </c>
      <c r="R12" s="70"/>
      <c r="S12" s="69"/>
      <c r="T12" s="69"/>
      <c r="U12" s="71"/>
      <c r="W12" s="219"/>
      <c r="X12" s="27"/>
      <c r="Y12" s="27"/>
      <c r="Z12" s="27"/>
      <c r="AA12" s="27"/>
      <c r="AB12" s="27"/>
      <c r="AC12" s="27"/>
      <c r="AD12" s="27"/>
      <c r="AE12" s="27"/>
      <c r="AF12" s="27"/>
      <c r="AG12" s="27"/>
    </row>
    <row r="13">
      <c r="B13" s="236"/>
      <c r="C13" s="237"/>
      <c r="D13" s="237"/>
      <c r="E13" s="237"/>
      <c r="F13" s="238"/>
      <c r="H13" s="220"/>
      <c r="I13" s="221"/>
      <c r="J13" s="221"/>
      <c r="K13" s="221"/>
      <c r="L13" s="221"/>
      <c r="M13" s="221"/>
      <c r="N13" s="222">
        <f t="shared" si="2"/>
        <v>0</v>
      </c>
      <c r="R13" s="70"/>
      <c r="S13" s="69"/>
      <c r="T13" s="69"/>
      <c r="U13" s="71"/>
      <c r="W13" s="219"/>
      <c r="X13" s="27"/>
      <c r="Y13" s="27"/>
    </row>
    <row r="14">
      <c r="B14" s="236"/>
      <c r="C14" s="237"/>
      <c r="D14" s="237"/>
      <c r="E14" s="237"/>
      <c r="F14" s="238"/>
      <c r="H14" s="212"/>
      <c r="I14" s="213"/>
      <c r="J14" s="213"/>
      <c r="K14" s="213"/>
      <c r="L14" s="213"/>
      <c r="M14" s="213"/>
      <c r="N14" s="218">
        <f t="shared" si="2"/>
        <v>0</v>
      </c>
      <c r="R14" s="70"/>
      <c r="S14" s="69"/>
      <c r="T14" s="69"/>
      <c r="U14" s="71"/>
    </row>
    <row r="15">
      <c r="B15" s="236"/>
      <c r="C15" s="237"/>
      <c r="D15" s="237"/>
      <c r="E15" s="237"/>
      <c r="F15" s="238"/>
      <c r="H15" s="220"/>
      <c r="I15" s="221"/>
      <c r="J15" s="221"/>
      <c r="K15" s="221"/>
      <c r="L15" s="221"/>
      <c r="M15" s="221"/>
      <c r="N15" s="222">
        <f t="shared" si="2"/>
        <v>0</v>
      </c>
      <c r="R15" s="70"/>
      <c r="S15" s="69"/>
      <c r="T15" s="69"/>
      <c r="U15" s="71"/>
    </row>
    <row r="16">
      <c r="B16" s="239" t="s">
        <v>307</v>
      </c>
      <c r="C16" s="240"/>
      <c r="D16" s="241">
        <f t="shared" ref="D16:F16" si="3">SUM(D13:D15)</f>
        <v>0</v>
      </c>
      <c r="E16" s="241">
        <f t="shared" si="3"/>
        <v>0</v>
      </c>
      <c r="F16" s="242">
        <f t="shared" si="3"/>
        <v>0</v>
      </c>
      <c r="H16" s="212"/>
      <c r="I16" s="213"/>
      <c r="J16" s="213"/>
      <c r="K16" s="213"/>
      <c r="L16" s="213"/>
      <c r="M16" s="213"/>
      <c r="N16" s="218">
        <f t="shared" si="2"/>
        <v>0</v>
      </c>
      <c r="R16" s="70"/>
      <c r="S16" s="69"/>
      <c r="T16" s="69"/>
      <c r="U16" s="71"/>
    </row>
    <row r="17">
      <c r="B17" s="243"/>
      <c r="C17" s="244" t="s">
        <v>62</v>
      </c>
      <c r="D17" s="245"/>
      <c r="E17" s="245"/>
      <c r="F17" s="246"/>
      <c r="H17" s="220"/>
      <c r="I17" s="221"/>
      <c r="J17" s="221"/>
      <c r="K17" s="221"/>
      <c r="L17" s="221"/>
      <c r="M17" s="221"/>
      <c r="N17" s="222">
        <f t="shared" si="2"/>
        <v>0</v>
      </c>
      <c r="R17" s="70"/>
      <c r="S17" s="69"/>
      <c r="T17" s="69"/>
      <c r="U17" s="71"/>
    </row>
    <row r="18">
      <c r="B18" s="236"/>
      <c r="C18" s="237"/>
      <c r="D18" s="237"/>
      <c r="E18" s="237"/>
      <c r="F18" s="238"/>
      <c r="H18" s="212"/>
      <c r="I18" s="213"/>
      <c r="J18" s="213"/>
      <c r="K18" s="213"/>
      <c r="L18" s="213"/>
      <c r="M18" s="213"/>
      <c r="N18" s="218">
        <f t="shared" si="2"/>
        <v>0</v>
      </c>
      <c r="R18" s="70"/>
      <c r="S18" s="69"/>
      <c r="T18" s="69"/>
      <c r="U18" s="71"/>
    </row>
    <row r="19">
      <c r="B19" s="236"/>
      <c r="C19" s="237"/>
      <c r="D19" s="237"/>
      <c r="E19" s="237"/>
      <c r="F19" s="238"/>
      <c r="H19" s="220"/>
      <c r="I19" s="221"/>
      <c r="J19" s="221"/>
      <c r="K19" s="221"/>
      <c r="L19" s="221"/>
      <c r="M19" s="221"/>
      <c r="N19" s="222">
        <f t="shared" si="2"/>
        <v>0</v>
      </c>
      <c r="R19" s="45"/>
      <c r="S19" s="50"/>
      <c r="T19" s="50"/>
      <c r="U19" s="61"/>
    </row>
    <row r="20">
      <c r="B20" s="236"/>
      <c r="C20" s="237"/>
      <c r="D20" s="237"/>
      <c r="E20" s="237"/>
      <c r="F20" s="238"/>
      <c r="H20" s="212"/>
      <c r="I20" s="213"/>
      <c r="J20" s="213"/>
      <c r="K20" s="213"/>
      <c r="L20" s="213"/>
      <c r="M20" s="213"/>
      <c r="N20" s="218">
        <f t="shared" si="2"/>
        <v>0</v>
      </c>
    </row>
    <row r="21" ht="15.75" customHeight="1">
      <c r="B21" s="239" t="s">
        <v>307</v>
      </c>
      <c r="C21" s="240"/>
      <c r="D21" s="241">
        <f t="shared" ref="D21:F21" si="4">SUM(D18:D20)</f>
        <v>0</v>
      </c>
      <c r="E21" s="241">
        <f t="shared" si="4"/>
        <v>0</v>
      </c>
      <c r="F21" s="242">
        <f t="shared" si="4"/>
        <v>0</v>
      </c>
      <c r="H21" s="220"/>
      <c r="I21" s="221"/>
      <c r="J21" s="221"/>
      <c r="K21" s="221"/>
      <c r="L21" s="221"/>
      <c r="M21" s="221"/>
      <c r="N21" s="222">
        <f t="shared" si="2"/>
        <v>0</v>
      </c>
    </row>
    <row r="22" ht="15.75" customHeight="1">
      <c r="B22" s="243"/>
      <c r="C22" s="244" t="s">
        <v>84</v>
      </c>
      <c r="D22" s="245"/>
      <c r="E22" s="245"/>
      <c r="F22" s="246"/>
      <c r="H22" s="212"/>
      <c r="I22" s="213"/>
      <c r="J22" s="213"/>
      <c r="K22" s="213"/>
      <c r="L22" s="213"/>
      <c r="M22" s="213"/>
      <c r="N22" s="218">
        <f t="shared" si="2"/>
        <v>0</v>
      </c>
    </row>
    <row r="23" ht="15.75" customHeight="1">
      <c r="B23" s="239"/>
      <c r="C23" s="240"/>
      <c r="D23" s="240"/>
      <c r="E23" s="240"/>
      <c r="F23" s="247"/>
      <c r="H23" s="220"/>
      <c r="I23" s="221"/>
      <c r="J23" s="221"/>
      <c r="K23" s="221"/>
      <c r="L23" s="221"/>
      <c r="M23" s="221"/>
      <c r="N23" s="222">
        <f t="shared" si="2"/>
        <v>0</v>
      </c>
    </row>
    <row r="24" ht="15.75" customHeight="1">
      <c r="H24" s="212"/>
      <c r="I24" s="213"/>
      <c r="J24" s="213"/>
      <c r="K24" s="213"/>
      <c r="L24" s="213"/>
      <c r="M24" s="213"/>
      <c r="N24" s="218">
        <f t="shared" si="2"/>
        <v>0</v>
      </c>
    </row>
    <row r="25" ht="15.75" customHeight="1">
      <c r="H25" s="220"/>
      <c r="I25" s="221"/>
      <c r="J25" s="221"/>
      <c r="K25" s="221"/>
      <c r="L25" s="221"/>
      <c r="M25" s="221"/>
      <c r="N25" s="222">
        <f t="shared" si="2"/>
        <v>0</v>
      </c>
    </row>
    <row r="26" ht="15.75" customHeight="1">
      <c r="H26" s="212"/>
      <c r="I26" s="213"/>
      <c r="J26" s="213"/>
      <c r="K26" s="213"/>
      <c r="L26" s="213"/>
      <c r="M26" s="213"/>
      <c r="N26" s="218">
        <f t="shared" si="2"/>
        <v>0</v>
      </c>
    </row>
    <row r="27" ht="15.75" customHeight="1">
      <c r="H27" s="220"/>
      <c r="I27" s="221"/>
      <c r="J27" s="221"/>
      <c r="K27" s="221"/>
      <c r="L27" s="221"/>
      <c r="M27" s="221"/>
      <c r="N27" s="222">
        <f t="shared" si="2"/>
        <v>0</v>
      </c>
    </row>
    <row r="28" ht="15.75" customHeight="1">
      <c r="H28" s="224"/>
      <c r="I28" s="216"/>
      <c r="J28" s="216"/>
      <c r="K28" s="216"/>
      <c r="L28" s="216"/>
      <c r="M28" s="216"/>
      <c r="N28" s="248">
        <f t="shared" si="2"/>
        <v>0</v>
      </c>
    </row>
    <row r="29" ht="15.75" customHeight="1">
      <c r="N29" s="14"/>
    </row>
    <row r="30" ht="15.75" customHeight="1">
      <c r="H30" s="201" t="s">
        <v>300</v>
      </c>
      <c r="I30" s="204"/>
      <c r="J30" s="204"/>
      <c r="K30" s="204"/>
      <c r="L30" s="204"/>
      <c r="M30" s="204"/>
      <c r="N30" s="207"/>
    </row>
    <row r="31" ht="15.75" customHeight="1">
      <c r="H31" s="208" t="s">
        <v>281</v>
      </c>
      <c r="I31" s="209"/>
      <c r="J31" s="209" t="s">
        <v>303</v>
      </c>
      <c r="K31" s="209" t="s">
        <v>304</v>
      </c>
      <c r="L31" s="209" t="s">
        <v>305</v>
      </c>
      <c r="M31" s="209" t="s">
        <v>306</v>
      </c>
      <c r="N31" s="210" t="s">
        <v>307</v>
      </c>
    </row>
    <row r="32" ht="15.75" customHeight="1">
      <c r="H32" s="249" t="s">
        <v>310</v>
      </c>
      <c r="I32" s="250"/>
      <c r="J32" s="213"/>
      <c r="K32" s="213"/>
      <c r="L32" s="213"/>
      <c r="M32" s="213"/>
      <c r="N32" s="214">
        <f t="shared" ref="N32:N40" si="5">SUM(J32:M32)</f>
        <v>0</v>
      </c>
    </row>
    <row r="33" ht="15.75" customHeight="1">
      <c r="H33" s="249" t="s">
        <v>312</v>
      </c>
      <c r="I33" s="250"/>
      <c r="J33" s="213"/>
      <c r="K33" s="213"/>
      <c r="L33" s="213"/>
      <c r="M33" s="213"/>
      <c r="N33" s="214">
        <f t="shared" si="5"/>
        <v>0</v>
      </c>
    </row>
    <row r="34" ht="15.75" customHeight="1">
      <c r="H34" s="249" t="s">
        <v>314</v>
      </c>
      <c r="I34" s="250"/>
      <c r="J34" s="213"/>
      <c r="K34" s="213"/>
      <c r="L34" s="213"/>
      <c r="M34" s="213"/>
      <c r="N34" s="214">
        <f t="shared" si="5"/>
        <v>0</v>
      </c>
    </row>
    <row r="35" ht="15.75" customHeight="1">
      <c r="H35" s="249" t="s">
        <v>315</v>
      </c>
      <c r="I35" s="250"/>
      <c r="J35" s="213"/>
      <c r="K35" s="213"/>
      <c r="L35" s="213"/>
      <c r="M35" s="213"/>
      <c r="N35" s="214">
        <f t="shared" si="5"/>
        <v>0</v>
      </c>
    </row>
    <row r="36" ht="15.75" customHeight="1">
      <c r="H36" s="249" t="s">
        <v>317</v>
      </c>
      <c r="I36" s="250"/>
      <c r="J36" s="213"/>
      <c r="K36" s="213"/>
      <c r="L36" s="213"/>
      <c r="M36" s="213"/>
      <c r="N36" s="214">
        <f t="shared" si="5"/>
        <v>0</v>
      </c>
    </row>
    <row r="37" ht="15.75" customHeight="1">
      <c r="H37" s="249" t="s">
        <v>319</v>
      </c>
      <c r="I37" s="250"/>
      <c r="J37" s="213"/>
      <c r="K37" s="213"/>
      <c r="L37" s="213"/>
      <c r="M37" s="213"/>
      <c r="N37" s="214">
        <f t="shared" si="5"/>
        <v>0</v>
      </c>
    </row>
    <row r="38" ht="15.75" customHeight="1">
      <c r="H38" s="249" t="s">
        <v>320</v>
      </c>
      <c r="I38" s="250"/>
      <c r="J38" s="213"/>
      <c r="K38" s="213"/>
      <c r="L38" s="213"/>
      <c r="M38" s="213"/>
      <c r="N38" s="214">
        <f t="shared" si="5"/>
        <v>0</v>
      </c>
    </row>
    <row r="39" ht="15.75" customHeight="1">
      <c r="H39" s="249" t="s">
        <v>332</v>
      </c>
      <c r="I39" s="250"/>
      <c r="J39" s="213">
        <f>ROUNDDOWN((J36+J33)/2,)</f>
        <v>0</v>
      </c>
      <c r="K39" s="213"/>
      <c r="L39" s="213"/>
      <c r="M39" s="213"/>
      <c r="N39" s="214">
        <f t="shared" si="5"/>
        <v>0</v>
      </c>
    </row>
    <row r="40" ht="15.75" customHeight="1">
      <c r="H40" s="215" t="s">
        <v>321</v>
      </c>
      <c r="I40" s="251"/>
      <c r="J40" s="216"/>
      <c r="K40" s="216"/>
      <c r="L40" s="216"/>
      <c r="M40" s="216"/>
      <c r="N40" s="225">
        <f t="shared" si="5"/>
        <v>0</v>
      </c>
    </row>
    <row r="41" ht="15.75" customHeight="1">
      <c r="N41" s="14"/>
    </row>
    <row r="42" ht="15.75" customHeight="1">
      <c r="N42" s="14"/>
    </row>
    <row r="43" ht="15.75" customHeight="1">
      <c r="N43" s="14"/>
    </row>
    <row r="44" ht="15.75" customHeight="1">
      <c r="N44" s="14"/>
    </row>
    <row r="45" ht="15.75" customHeight="1">
      <c r="N45" s="14"/>
    </row>
    <row r="46" ht="15.75" customHeight="1">
      <c r="N46" s="14"/>
    </row>
    <row r="47" ht="15.75" customHeight="1">
      <c r="N47" s="14"/>
    </row>
    <row r="48" ht="15.75" customHeight="1">
      <c r="N48" s="14"/>
    </row>
    <row r="49" ht="15.75" customHeight="1">
      <c r="N49" s="14"/>
    </row>
    <row r="50" ht="15.75" customHeight="1">
      <c r="N50" s="14"/>
    </row>
    <row r="51" ht="15.75" customHeight="1">
      <c r="N51" s="14"/>
    </row>
    <row r="52" ht="15.75" customHeight="1">
      <c r="N52" s="14"/>
    </row>
    <row r="53" ht="15.75" customHeight="1">
      <c r="N53" s="14"/>
    </row>
    <row r="54" ht="15.75" customHeight="1">
      <c r="N54" s="14"/>
    </row>
    <row r="55" ht="15.75" customHeight="1">
      <c r="N55" s="14"/>
    </row>
    <row r="56" ht="15.75" customHeight="1">
      <c r="N56" s="14"/>
    </row>
    <row r="57" ht="15.75" customHeight="1">
      <c r="N57" s="14"/>
    </row>
    <row r="58" ht="15.75" customHeight="1">
      <c r="N58" s="14"/>
    </row>
    <row r="59" ht="15.75" customHeight="1">
      <c r="N59" s="14"/>
    </row>
    <row r="60" ht="15.75" customHeight="1">
      <c r="N60" s="14"/>
    </row>
    <row r="61" ht="15.75" customHeight="1">
      <c r="N61" s="14"/>
    </row>
    <row r="62" ht="15.75" customHeight="1">
      <c r="N62" s="14"/>
    </row>
    <row r="63" ht="15.75" customHeight="1">
      <c r="N63" s="14"/>
    </row>
    <row r="64" ht="15.75" customHeight="1">
      <c r="N64" s="14"/>
    </row>
    <row r="65" ht="15.75" customHeight="1">
      <c r="N65" s="14"/>
    </row>
    <row r="66" ht="15.75" customHeight="1">
      <c r="N66" s="14"/>
    </row>
    <row r="67" ht="15.75" customHeight="1">
      <c r="N67" s="14"/>
    </row>
    <row r="68" ht="15.75" customHeight="1">
      <c r="N68" s="14"/>
    </row>
    <row r="69" ht="15.75" customHeight="1">
      <c r="N69" s="14"/>
    </row>
    <row r="70" ht="15.75" customHeight="1">
      <c r="N70" s="14"/>
    </row>
    <row r="71" ht="15.75" customHeight="1">
      <c r="N71" s="14"/>
    </row>
    <row r="72" ht="15.75" customHeight="1">
      <c r="N72" s="14"/>
    </row>
    <row r="73" ht="15.75" customHeight="1">
      <c r="N73" s="14"/>
    </row>
    <row r="74" ht="15.75" customHeight="1">
      <c r="N74" s="14"/>
    </row>
    <row r="75" ht="15.75" customHeight="1">
      <c r="N75" s="14"/>
    </row>
    <row r="76" ht="15.75" customHeight="1">
      <c r="N76" s="14"/>
    </row>
    <row r="77" ht="15.75" customHeight="1">
      <c r="N77" s="14"/>
    </row>
    <row r="78" ht="15.75" customHeight="1">
      <c r="N78" s="14"/>
    </row>
    <row r="79" ht="15.75" customHeight="1">
      <c r="N79" s="14"/>
    </row>
    <row r="80" ht="15.75" customHeight="1">
      <c r="N80" s="14"/>
    </row>
    <row r="81" ht="15.75" customHeight="1">
      <c r="N81" s="14"/>
    </row>
    <row r="82" ht="15.75" customHeight="1">
      <c r="N82" s="14"/>
    </row>
    <row r="83" ht="15.75" customHeight="1">
      <c r="N83" s="14"/>
    </row>
    <row r="84" ht="15.75" customHeight="1">
      <c r="N84" s="14"/>
    </row>
    <row r="85" ht="15.75" customHeight="1">
      <c r="N85" s="14"/>
    </row>
    <row r="86" ht="15.75" customHeight="1">
      <c r="N86" s="14"/>
    </row>
    <row r="87" ht="15.75" customHeight="1">
      <c r="N87" s="14"/>
    </row>
    <row r="88" ht="15.75" customHeight="1">
      <c r="N88" s="14"/>
    </row>
    <row r="89" ht="15.75" customHeight="1">
      <c r="N89" s="14"/>
    </row>
    <row r="90" ht="15.75" customHeight="1">
      <c r="N90" s="14"/>
    </row>
    <row r="91" ht="15.75" customHeight="1">
      <c r="N91" s="14"/>
    </row>
    <row r="92" ht="15.75" customHeight="1">
      <c r="N92" s="14"/>
    </row>
    <row r="93" ht="15.75" customHeight="1">
      <c r="N93" s="14"/>
    </row>
    <row r="94" ht="15.75" customHeight="1">
      <c r="N94" s="14"/>
    </row>
    <row r="95" ht="15.75" customHeight="1">
      <c r="N95" s="14"/>
    </row>
    <row r="96" ht="15.75" customHeight="1">
      <c r="N96" s="14"/>
    </row>
    <row r="97" ht="15.75" customHeight="1">
      <c r="N97" s="14"/>
    </row>
    <row r="98" ht="15.75" customHeight="1">
      <c r="N98" s="14"/>
    </row>
    <row r="99" ht="15.75" customHeight="1">
      <c r="N99" s="14"/>
    </row>
    <row r="100" ht="15.75" customHeight="1">
      <c r="N100" s="14"/>
    </row>
    <row r="101" ht="15.75" customHeight="1">
      <c r="N101" s="14"/>
    </row>
    <row r="102" ht="15.75" customHeight="1">
      <c r="N102" s="14"/>
    </row>
    <row r="103" ht="15.75" customHeight="1">
      <c r="N103" s="14"/>
    </row>
    <row r="104" ht="15.75" customHeight="1">
      <c r="N104" s="14"/>
    </row>
    <row r="105" ht="15.75" customHeight="1">
      <c r="N105" s="14"/>
    </row>
    <row r="106" ht="15.75" customHeight="1">
      <c r="N106" s="14"/>
    </row>
    <row r="107" ht="15.75" customHeight="1">
      <c r="N107" s="14"/>
    </row>
    <row r="108" ht="15.75" customHeight="1">
      <c r="N108" s="14"/>
    </row>
    <row r="109" ht="15.75" customHeight="1">
      <c r="N109" s="14"/>
    </row>
    <row r="110" ht="15.75" customHeight="1">
      <c r="N110" s="14"/>
    </row>
    <row r="111" ht="15.75" customHeight="1">
      <c r="N111" s="14"/>
    </row>
    <row r="112" ht="15.75" customHeight="1">
      <c r="N112" s="14"/>
    </row>
    <row r="113" ht="15.75" customHeight="1">
      <c r="N113" s="14"/>
    </row>
    <row r="114" ht="15.75" customHeight="1">
      <c r="N114" s="14"/>
    </row>
    <row r="115" ht="15.75" customHeight="1">
      <c r="N115" s="14"/>
    </row>
    <row r="116" ht="15.75" customHeight="1">
      <c r="N116" s="14"/>
    </row>
    <row r="117" ht="15.75" customHeight="1">
      <c r="N117" s="14"/>
    </row>
    <row r="118" ht="15.75" customHeight="1">
      <c r="N118" s="14"/>
    </row>
    <row r="119" ht="15.75" customHeight="1">
      <c r="N119" s="14"/>
    </row>
    <row r="120" ht="15.75" customHeight="1">
      <c r="N120" s="14"/>
    </row>
    <row r="121" ht="15.75" customHeight="1">
      <c r="N121" s="14"/>
    </row>
    <row r="122" ht="15.75" customHeight="1">
      <c r="N122" s="14"/>
    </row>
    <row r="123" ht="15.75" customHeight="1">
      <c r="N123" s="14"/>
    </row>
    <row r="124" ht="15.75" customHeight="1">
      <c r="N124" s="14"/>
    </row>
    <row r="125" ht="15.75" customHeight="1">
      <c r="N125" s="14"/>
    </row>
    <row r="126" ht="15.75" customHeight="1">
      <c r="N126" s="14"/>
    </row>
    <row r="127" ht="15.75" customHeight="1">
      <c r="N127" s="14"/>
    </row>
    <row r="128" ht="15.75" customHeight="1">
      <c r="N128" s="14"/>
    </row>
    <row r="129" ht="15.75" customHeight="1">
      <c r="N129" s="14"/>
    </row>
    <row r="130" ht="15.75" customHeight="1">
      <c r="N130" s="14"/>
    </row>
    <row r="131" ht="15.75" customHeight="1">
      <c r="N131" s="14"/>
    </row>
    <row r="132" ht="15.75" customHeight="1">
      <c r="N132" s="14"/>
    </row>
    <row r="133" ht="15.75" customHeight="1">
      <c r="N133" s="14"/>
    </row>
    <row r="134" ht="15.75" customHeight="1">
      <c r="N134" s="14"/>
    </row>
    <row r="135" ht="15.75" customHeight="1">
      <c r="N135" s="14"/>
    </row>
    <row r="136" ht="15.75" customHeight="1">
      <c r="N136" s="14"/>
    </row>
    <row r="137" ht="15.75" customHeight="1">
      <c r="N137" s="14"/>
    </row>
    <row r="138" ht="15.75" customHeight="1">
      <c r="N138" s="14"/>
    </row>
    <row r="139" ht="15.75" customHeight="1">
      <c r="N139" s="14"/>
    </row>
    <row r="140" ht="15.75" customHeight="1">
      <c r="N140" s="14"/>
    </row>
    <row r="141" ht="15.75" customHeight="1">
      <c r="N141" s="14"/>
    </row>
    <row r="142" ht="15.75" customHeight="1">
      <c r="N142" s="14"/>
    </row>
    <row r="143" ht="15.75" customHeight="1">
      <c r="N143" s="14"/>
    </row>
    <row r="144" ht="15.75" customHeight="1">
      <c r="N144" s="14"/>
    </row>
    <row r="145" ht="15.75" customHeight="1">
      <c r="N145" s="14"/>
    </row>
    <row r="146" ht="15.75" customHeight="1">
      <c r="N146" s="14"/>
    </row>
    <row r="147" ht="15.75" customHeight="1">
      <c r="N147" s="14"/>
    </row>
    <row r="148" ht="15.75" customHeight="1">
      <c r="N148" s="14"/>
    </row>
    <row r="149" ht="15.75" customHeight="1">
      <c r="N149" s="14"/>
    </row>
    <row r="150" ht="15.75" customHeight="1">
      <c r="N150" s="14"/>
    </row>
    <row r="151" ht="15.75" customHeight="1">
      <c r="N151" s="14"/>
    </row>
    <row r="152" ht="15.75" customHeight="1">
      <c r="N152" s="14"/>
    </row>
    <row r="153" ht="15.75" customHeight="1">
      <c r="N153" s="14"/>
    </row>
    <row r="154" ht="15.75" customHeight="1">
      <c r="N154" s="14"/>
    </row>
    <row r="155" ht="15.75" customHeight="1">
      <c r="N155" s="14"/>
    </row>
    <row r="156" ht="15.75" customHeight="1">
      <c r="N156" s="14"/>
    </row>
    <row r="157" ht="15.75" customHeight="1">
      <c r="N157" s="14"/>
    </row>
    <row r="158" ht="15.75" customHeight="1">
      <c r="N158" s="14"/>
    </row>
    <row r="159" ht="15.75" customHeight="1">
      <c r="N159" s="14"/>
    </row>
    <row r="160" ht="15.75" customHeight="1">
      <c r="N160" s="14"/>
    </row>
    <row r="161" ht="15.75" customHeight="1">
      <c r="N161" s="14"/>
    </row>
    <row r="162" ht="15.75" customHeight="1">
      <c r="N162" s="14"/>
    </row>
    <row r="163" ht="15.75" customHeight="1">
      <c r="N163" s="14"/>
    </row>
    <row r="164" ht="15.75" customHeight="1">
      <c r="N164" s="14"/>
    </row>
    <row r="165" ht="15.75" customHeight="1">
      <c r="N165" s="14"/>
    </row>
    <row r="166" ht="15.75" customHeight="1">
      <c r="N166" s="14"/>
    </row>
    <row r="167" ht="15.75" customHeight="1">
      <c r="N167" s="14"/>
    </row>
    <row r="168" ht="15.75" customHeight="1">
      <c r="N168" s="14"/>
    </row>
    <row r="169" ht="15.75" customHeight="1">
      <c r="N169" s="14"/>
    </row>
    <row r="170" ht="15.75" customHeight="1">
      <c r="N170" s="14"/>
    </row>
    <row r="171" ht="15.75" customHeight="1">
      <c r="N171" s="14"/>
    </row>
    <row r="172" ht="15.75" customHeight="1">
      <c r="N172" s="14"/>
    </row>
    <row r="173" ht="15.75" customHeight="1">
      <c r="N173" s="14"/>
    </row>
    <row r="174" ht="15.75" customHeight="1">
      <c r="N174" s="14"/>
    </row>
    <row r="175" ht="15.75" customHeight="1">
      <c r="N175" s="14"/>
    </row>
    <row r="176" ht="15.75" customHeight="1">
      <c r="N176" s="14"/>
    </row>
    <row r="177" ht="15.75" customHeight="1">
      <c r="N177" s="14"/>
    </row>
    <row r="178" ht="15.75" customHeight="1">
      <c r="N178" s="14"/>
    </row>
    <row r="179" ht="15.75" customHeight="1">
      <c r="N179" s="14"/>
    </row>
    <row r="180" ht="15.75" customHeight="1">
      <c r="N180" s="14"/>
    </row>
    <row r="181" ht="15.75" customHeight="1">
      <c r="N181" s="14"/>
    </row>
    <row r="182" ht="15.75" customHeight="1">
      <c r="N182" s="14"/>
    </row>
    <row r="183" ht="15.75" customHeight="1">
      <c r="N183" s="14"/>
    </row>
    <row r="184" ht="15.75" customHeight="1">
      <c r="N184" s="14"/>
    </row>
    <row r="185" ht="15.75" customHeight="1">
      <c r="N185" s="14"/>
    </row>
    <row r="186" ht="15.75" customHeight="1">
      <c r="N186" s="14"/>
    </row>
    <row r="187" ht="15.75" customHeight="1">
      <c r="N187" s="14"/>
    </row>
    <row r="188" ht="15.75" customHeight="1">
      <c r="N188" s="14"/>
    </row>
    <row r="189" ht="15.75" customHeight="1">
      <c r="N189" s="14"/>
    </row>
    <row r="190" ht="15.75" customHeight="1">
      <c r="N190" s="14"/>
    </row>
    <row r="191" ht="15.75" customHeight="1">
      <c r="N191" s="14"/>
    </row>
    <row r="192" ht="15.75" customHeight="1">
      <c r="N192" s="14"/>
    </row>
    <row r="193" ht="15.75" customHeight="1">
      <c r="N193" s="14"/>
    </row>
    <row r="194" ht="15.75" customHeight="1">
      <c r="N194" s="14"/>
    </row>
    <row r="195" ht="15.75" customHeight="1">
      <c r="N195" s="14"/>
    </row>
    <row r="196" ht="15.75" customHeight="1">
      <c r="N196" s="14"/>
    </row>
    <row r="197" ht="15.75" customHeight="1">
      <c r="N197" s="14"/>
    </row>
    <row r="198" ht="15.75" customHeight="1">
      <c r="N198" s="14"/>
    </row>
    <row r="199" ht="15.75" customHeight="1">
      <c r="N199" s="14"/>
    </row>
    <row r="200" ht="15.75" customHeight="1">
      <c r="N200" s="14"/>
    </row>
    <row r="201" ht="15.75" customHeight="1">
      <c r="N201" s="14"/>
    </row>
    <row r="202" ht="15.75" customHeight="1">
      <c r="N202" s="14"/>
    </row>
    <row r="203" ht="15.75" customHeight="1">
      <c r="N203" s="14"/>
    </row>
    <row r="204" ht="15.75" customHeight="1">
      <c r="N204" s="14"/>
    </row>
    <row r="205" ht="15.75" customHeight="1">
      <c r="N205" s="14"/>
    </row>
    <row r="206" ht="15.75" customHeight="1">
      <c r="N206" s="14"/>
    </row>
    <row r="207" ht="15.75" customHeight="1">
      <c r="N207" s="14"/>
    </row>
    <row r="208" ht="15.75" customHeight="1">
      <c r="N208" s="14"/>
    </row>
    <row r="209" ht="15.75" customHeight="1">
      <c r="N209" s="14"/>
    </row>
    <row r="210" ht="15.75" customHeight="1">
      <c r="N210" s="14"/>
    </row>
    <row r="211" ht="15.75" customHeight="1">
      <c r="N211" s="14"/>
    </row>
    <row r="212" ht="15.75" customHeight="1">
      <c r="N212" s="14"/>
    </row>
    <row r="213" ht="15.75" customHeight="1">
      <c r="N213" s="14"/>
    </row>
    <row r="214" ht="15.75" customHeight="1">
      <c r="N214" s="14"/>
    </row>
    <row r="215" ht="15.75" customHeight="1">
      <c r="N215" s="14"/>
    </row>
    <row r="216" ht="15.75" customHeight="1">
      <c r="N216" s="14"/>
    </row>
    <row r="217" ht="15.75" customHeight="1">
      <c r="N217" s="14"/>
    </row>
    <row r="218" ht="15.75" customHeight="1">
      <c r="N218" s="14"/>
    </row>
    <row r="219" ht="15.75" customHeight="1">
      <c r="N219" s="14"/>
    </row>
    <row r="220" ht="15.75" customHeight="1">
      <c r="N220" s="14"/>
    </row>
    <row r="221" ht="15.75" customHeight="1">
      <c r="N221" s="14"/>
    </row>
    <row r="222" ht="15.75" customHeight="1">
      <c r="N222" s="14"/>
    </row>
    <row r="223" ht="15.75" customHeight="1">
      <c r="N223" s="14"/>
    </row>
    <row r="224" ht="15.75" customHeight="1">
      <c r="N224" s="14"/>
    </row>
    <row r="225" ht="15.75" customHeight="1">
      <c r="N225" s="14"/>
    </row>
    <row r="226" ht="15.75" customHeight="1">
      <c r="N226" s="14"/>
    </row>
    <row r="227" ht="15.75" customHeight="1">
      <c r="N227" s="14"/>
    </row>
    <row r="228" ht="15.75" customHeight="1">
      <c r="N228" s="14"/>
    </row>
    <row r="229" ht="15.75" customHeight="1">
      <c r="N229" s="14"/>
    </row>
    <row r="230" ht="15.75" customHeight="1">
      <c r="N230" s="14"/>
    </row>
    <row r="231" ht="15.75" customHeight="1">
      <c r="N231" s="14"/>
    </row>
    <row r="232" ht="15.75" customHeight="1">
      <c r="N232" s="14"/>
    </row>
    <row r="233" ht="15.75" customHeight="1">
      <c r="N233" s="14"/>
    </row>
    <row r="234" ht="15.75" customHeight="1">
      <c r="N234" s="14"/>
    </row>
    <row r="235" ht="15.75" customHeight="1">
      <c r="N235" s="14"/>
    </row>
    <row r="236" ht="15.75" customHeight="1">
      <c r="N236" s="14"/>
    </row>
    <row r="237" ht="15.75" customHeight="1">
      <c r="N237" s="14"/>
    </row>
    <row r="238" ht="15.75" customHeight="1">
      <c r="N238" s="14"/>
    </row>
    <row r="239" ht="15.75" customHeight="1">
      <c r="N239" s="14"/>
    </row>
    <row r="240" ht="15.75" customHeight="1">
      <c r="N240" s="14"/>
    </row>
    <row r="241" ht="15.75" customHeight="1">
      <c r="N241" s="14"/>
    </row>
    <row r="242" ht="15.75" customHeight="1">
      <c r="N242" s="14"/>
    </row>
    <row r="243" ht="15.75" customHeight="1">
      <c r="N243" s="14"/>
    </row>
    <row r="244" ht="15.75" customHeight="1">
      <c r="N244" s="14"/>
    </row>
    <row r="245" ht="15.75" customHeight="1">
      <c r="N245" s="14"/>
    </row>
    <row r="246" ht="15.75" customHeight="1">
      <c r="N246" s="14"/>
    </row>
    <row r="247" ht="15.75" customHeight="1">
      <c r="N247" s="14"/>
    </row>
    <row r="248" ht="15.75" customHeight="1">
      <c r="N248" s="14"/>
    </row>
    <row r="249" ht="15.75" customHeight="1">
      <c r="N249" s="14"/>
    </row>
    <row r="250" ht="15.75" customHeight="1">
      <c r="N250" s="14"/>
    </row>
    <row r="251" ht="15.75" customHeight="1">
      <c r="N251" s="14"/>
    </row>
    <row r="252" ht="15.75" customHeight="1">
      <c r="N252" s="14"/>
    </row>
    <row r="253" ht="15.75" customHeight="1">
      <c r="N253" s="14"/>
    </row>
    <row r="254" ht="15.75" customHeight="1">
      <c r="N254" s="14"/>
    </row>
    <row r="255" ht="15.75" customHeight="1">
      <c r="N255" s="14"/>
    </row>
    <row r="256" ht="15.75" customHeight="1">
      <c r="N256" s="14"/>
    </row>
    <row r="257" ht="15.75" customHeight="1">
      <c r="N257" s="14"/>
    </row>
    <row r="258" ht="15.75" customHeight="1">
      <c r="N258" s="14"/>
    </row>
    <row r="259" ht="15.75" customHeight="1">
      <c r="N259" s="14"/>
    </row>
    <row r="260" ht="15.75" customHeight="1">
      <c r="N260" s="14"/>
    </row>
    <row r="261" ht="15.75" customHeight="1">
      <c r="N261" s="14"/>
    </row>
    <row r="262" ht="15.75" customHeight="1">
      <c r="N262" s="14"/>
    </row>
    <row r="263" ht="15.75" customHeight="1">
      <c r="N263" s="14"/>
    </row>
    <row r="264" ht="15.75" customHeight="1">
      <c r="N264" s="14"/>
    </row>
    <row r="265" ht="15.75" customHeight="1">
      <c r="N265" s="14"/>
    </row>
    <row r="266" ht="15.75" customHeight="1">
      <c r="N266" s="14"/>
    </row>
    <row r="267" ht="15.75" customHeight="1">
      <c r="N267" s="14"/>
    </row>
    <row r="268" ht="15.75" customHeight="1">
      <c r="N268" s="14"/>
    </row>
    <row r="269" ht="15.75" customHeight="1">
      <c r="N269" s="14"/>
    </row>
    <row r="270" ht="15.75" customHeight="1">
      <c r="N270" s="14"/>
    </row>
    <row r="271" ht="15.75" customHeight="1">
      <c r="N271" s="14"/>
    </row>
    <row r="272" ht="15.75" customHeight="1">
      <c r="N272" s="14"/>
    </row>
    <row r="273" ht="15.75" customHeight="1">
      <c r="N273" s="14"/>
    </row>
    <row r="274" ht="15.75" customHeight="1">
      <c r="N274" s="14"/>
    </row>
    <row r="275" ht="15.75" customHeight="1">
      <c r="N275" s="14"/>
    </row>
    <row r="276" ht="15.75" customHeight="1">
      <c r="N276" s="14"/>
    </row>
    <row r="277" ht="15.75" customHeight="1">
      <c r="N277" s="14"/>
    </row>
    <row r="278" ht="15.75" customHeight="1">
      <c r="N278" s="14"/>
    </row>
    <row r="279" ht="15.75" customHeight="1">
      <c r="N279" s="14"/>
    </row>
    <row r="280" ht="15.75" customHeight="1">
      <c r="N280" s="14"/>
    </row>
    <row r="281" ht="15.75" customHeight="1">
      <c r="N281" s="14"/>
    </row>
    <row r="282" ht="15.75" customHeight="1">
      <c r="N282" s="14"/>
    </row>
    <row r="283" ht="15.75" customHeight="1">
      <c r="N283" s="14"/>
    </row>
    <row r="284" ht="15.75" customHeight="1">
      <c r="N284" s="14"/>
    </row>
    <row r="285" ht="15.75" customHeight="1">
      <c r="N285" s="14"/>
    </row>
    <row r="286" ht="15.75" customHeight="1">
      <c r="N286" s="14"/>
    </row>
    <row r="287" ht="15.75" customHeight="1">
      <c r="N287" s="14"/>
    </row>
    <row r="288" ht="15.75" customHeight="1">
      <c r="N288" s="14"/>
    </row>
    <row r="289" ht="15.75" customHeight="1">
      <c r="N289" s="14"/>
    </row>
    <row r="290" ht="15.75" customHeight="1">
      <c r="N290" s="14"/>
    </row>
    <row r="291" ht="15.75" customHeight="1">
      <c r="N291" s="14"/>
    </row>
    <row r="292" ht="15.75" customHeight="1">
      <c r="N292" s="14"/>
    </row>
    <row r="293" ht="15.75" customHeight="1">
      <c r="N293" s="14"/>
    </row>
    <row r="294" ht="15.75" customHeight="1">
      <c r="N294" s="14"/>
    </row>
    <row r="295" ht="15.75" customHeight="1">
      <c r="N295" s="14"/>
    </row>
    <row r="296" ht="15.75" customHeight="1">
      <c r="N296" s="14"/>
    </row>
    <row r="297" ht="15.75" customHeight="1">
      <c r="N297" s="14"/>
    </row>
    <row r="298" ht="15.75" customHeight="1">
      <c r="N298" s="14"/>
    </row>
    <row r="299" ht="15.75" customHeight="1">
      <c r="N299" s="14"/>
    </row>
    <row r="300" ht="15.75" customHeight="1">
      <c r="N300" s="14"/>
    </row>
    <row r="301" ht="15.75" customHeight="1">
      <c r="N301" s="14"/>
    </row>
    <row r="302" ht="15.75" customHeight="1">
      <c r="N302" s="14"/>
    </row>
    <row r="303" ht="15.75" customHeight="1">
      <c r="N303" s="14"/>
    </row>
    <row r="304" ht="15.75" customHeight="1">
      <c r="N304" s="14"/>
    </row>
    <row r="305" ht="15.75" customHeight="1">
      <c r="N305" s="14"/>
    </row>
    <row r="306" ht="15.75" customHeight="1">
      <c r="N306" s="14"/>
    </row>
    <row r="307" ht="15.75" customHeight="1">
      <c r="N307" s="14"/>
    </row>
    <row r="308" ht="15.75" customHeight="1">
      <c r="N308" s="14"/>
    </row>
    <row r="309" ht="15.75" customHeight="1">
      <c r="N309" s="14"/>
    </row>
    <row r="310" ht="15.75" customHeight="1">
      <c r="N310" s="14"/>
    </row>
    <row r="311" ht="15.75" customHeight="1">
      <c r="N311" s="14"/>
    </row>
    <row r="312" ht="15.75" customHeight="1">
      <c r="N312" s="14"/>
    </row>
    <row r="313" ht="15.75" customHeight="1">
      <c r="N313" s="14"/>
    </row>
    <row r="314" ht="15.75" customHeight="1">
      <c r="N314" s="14"/>
    </row>
    <row r="315" ht="15.75" customHeight="1">
      <c r="N315" s="14"/>
    </row>
    <row r="316" ht="15.75" customHeight="1">
      <c r="N316" s="14"/>
    </row>
    <row r="317" ht="15.75" customHeight="1">
      <c r="N317" s="14"/>
    </row>
    <row r="318" ht="15.75" customHeight="1">
      <c r="N318" s="14"/>
    </row>
    <row r="319" ht="15.75" customHeight="1">
      <c r="N319" s="14"/>
    </row>
    <row r="320" ht="15.75" customHeight="1">
      <c r="N320" s="14"/>
    </row>
    <row r="321" ht="15.75" customHeight="1">
      <c r="N321" s="14"/>
    </row>
    <row r="322" ht="15.75" customHeight="1">
      <c r="N322" s="14"/>
    </row>
    <row r="323" ht="15.75" customHeight="1">
      <c r="N323" s="14"/>
    </row>
    <row r="324" ht="15.75" customHeight="1">
      <c r="N324" s="14"/>
    </row>
    <row r="325" ht="15.75" customHeight="1">
      <c r="N325" s="14"/>
    </row>
    <row r="326" ht="15.75" customHeight="1">
      <c r="N326" s="14"/>
    </row>
    <row r="327" ht="15.75" customHeight="1">
      <c r="N327" s="14"/>
    </row>
    <row r="328" ht="15.75" customHeight="1">
      <c r="N328" s="14"/>
    </row>
    <row r="329" ht="15.75" customHeight="1">
      <c r="N329" s="14"/>
    </row>
    <row r="330" ht="15.75" customHeight="1">
      <c r="N330" s="14"/>
    </row>
    <row r="331" ht="15.75" customHeight="1">
      <c r="N331" s="14"/>
    </row>
    <row r="332" ht="15.75" customHeight="1">
      <c r="N332" s="14"/>
    </row>
    <row r="333" ht="15.75" customHeight="1">
      <c r="N333" s="14"/>
    </row>
    <row r="334" ht="15.75" customHeight="1">
      <c r="N334" s="14"/>
    </row>
    <row r="335" ht="15.75" customHeight="1">
      <c r="N335" s="14"/>
    </row>
    <row r="336" ht="15.75" customHeight="1">
      <c r="N336" s="14"/>
    </row>
    <row r="337" ht="15.75" customHeight="1">
      <c r="N337" s="14"/>
    </row>
    <row r="338" ht="15.75" customHeight="1">
      <c r="N338" s="14"/>
    </row>
    <row r="339" ht="15.75" customHeight="1">
      <c r="N339" s="14"/>
    </row>
    <row r="340" ht="15.75" customHeight="1">
      <c r="N340" s="14"/>
    </row>
    <row r="341" ht="15.75" customHeight="1">
      <c r="N341" s="14"/>
    </row>
    <row r="342" ht="15.75" customHeight="1">
      <c r="N342" s="14"/>
    </row>
    <row r="343" ht="15.75" customHeight="1">
      <c r="N343" s="14"/>
    </row>
    <row r="344" ht="15.75" customHeight="1">
      <c r="N344" s="14"/>
    </row>
    <row r="345" ht="15.75" customHeight="1">
      <c r="N345" s="14"/>
    </row>
    <row r="346" ht="15.75" customHeight="1">
      <c r="N346" s="14"/>
    </row>
    <row r="347" ht="15.75" customHeight="1">
      <c r="N347" s="14"/>
    </row>
    <row r="348" ht="15.75" customHeight="1">
      <c r="N348" s="14"/>
    </row>
    <row r="349" ht="15.75" customHeight="1">
      <c r="N349" s="14"/>
    </row>
    <row r="350" ht="15.75" customHeight="1">
      <c r="N350" s="14"/>
    </row>
    <row r="351" ht="15.75" customHeight="1">
      <c r="N351" s="14"/>
    </row>
    <row r="352" ht="15.75" customHeight="1">
      <c r="N352" s="14"/>
    </row>
    <row r="353" ht="15.75" customHeight="1">
      <c r="N353" s="14"/>
    </row>
    <row r="354" ht="15.75" customHeight="1">
      <c r="N354" s="14"/>
    </row>
    <row r="355" ht="15.75" customHeight="1">
      <c r="N355" s="14"/>
    </row>
    <row r="356" ht="15.75" customHeight="1">
      <c r="N356" s="14"/>
    </row>
    <row r="357" ht="15.75" customHeight="1">
      <c r="N357" s="14"/>
    </row>
    <row r="358" ht="15.75" customHeight="1">
      <c r="N358" s="14"/>
    </row>
    <row r="359" ht="15.75" customHeight="1">
      <c r="N359" s="14"/>
    </row>
    <row r="360" ht="15.75" customHeight="1">
      <c r="N360" s="14"/>
    </row>
    <row r="361" ht="15.75" customHeight="1">
      <c r="N361" s="14"/>
    </row>
    <row r="362" ht="15.75" customHeight="1">
      <c r="N362" s="14"/>
    </row>
    <row r="363" ht="15.75" customHeight="1">
      <c r="N363" s="14"/>
    </row>
    <row r="364" ht="15.75" customHeight="1">
      <c r="N364" s="14"/>
    </row>
    <row r="365" ht="15.75" customHeight="1">
      <c r="N365" s="14"/>
    </row>
    <row r="366" ht="15.75" customHeight="1">
      <c r="N366" s="14"/>
    </row>
    <row r="367" ht="15.75" customHeight="1">
      <c r="N367" s="14"/>
    </row>
    <row r="368" ht="15.75" customHeight="1">
      <c r="N368" s="14"/>
    </row>
    <row r="369" ht="15.75" customHeight="1">
      <c r="N369" s="14"/>
    </row>
    <row r="370" ht="15.75" customHeight="1">
      <c r="N370" s="14"/>
    </row>
    <row r="371" ht="15.75" customHeight="1">
      <c r="N371" s="14"/>
    </row>
    <row r="372" ht="15.75" customHeight="1">
      <c r="N372" s="14"/>
    </row>
    <row r="373" ht="15.75" customHeight="1">
      <c r="N373" s="14"/>
    </row>
    <row r="374" ht="15.75" customHeight="1">
      <c r="N374" s="14"/>
    </row>
    <row r="375" ht="15.75" customHeight="1">
      <c r="N375" s="14"/>
    </row>
    <row r="376" ht="15.75" customHeight="1">
      <c r="N376" s="14"/>
    </row>
    <row r="377" ht="15.75" customHeight="1">
      <c r="N377" s="14"/>
    </row>
    <row r="378" ht="15.75" customHeight="1">
      <c r="N378" s="14"/>
    </row>
    <row r="379" ht="15.75" customHeight="1">
      <c r="N379" s="14"/>
    </row>
    <row r="380" ht="15.75" customHeight="1">
      <c r="N380" s="14"/>
    </row>
    <row r="381" ht="15.75" customHeight="1">
      <c r="N381" s="14"/>
    </row>
    <row r="382" ht="15.75" customHeight="1">
      <c r="N382" s="14"/>
    </row>
    <row r="383" ht="15.75" customHeight="1">
      <c r="N383" s="14"/>
    </row>
    <row r="384" ht="15.75" customHeight="1">
      <c r="N384" s="14"/>
    </row>
    <row r="385" ht="15.75" customHeight="1">
      <c r="N385" s="14"/>
    </row>
    <row r="386" ht="15.75" customHeight="1">
      <c r="N386" s="14"/>
    </row>
    <row r="387" ht="15.75" customHeight="1">
      <c r="N387" s="14"/>
    </row>
    <row r="388" ht="15.75" customHeight="1">
      <c r="N388" s="14"/>
    </row>
    <row r="389" ht="15.75" customHeight="1">
      <c r="N389" s="14"/>
    </row>
    <row r="390" ht="15.75" customHeight="1">
      <c r="N390" s="14"/>
    </row>
    <row r="391" ht="15.75" customHeight="1">
      <c r="N391" s="14"/>
    </row>
    <row r="392" ht="15.75" customHeight="1">
      <c r="N392" s="14"/>
    </row>
    <row r="393" ht="15.75" customHeight="1">
      <c r="N393" s="14"/>
    </row>
    <row r="394" ht="15.75" customHeight="1">
      <c r="N394" s="14"/>
    </row>
    <row r="395" ht="15.75" customHeight="1">
      <c r="N395" s="14"/>
    </row>
    <row r="396" ht="15.75" customHeight="1">
      <c r="N396" s="14"/>
    </row>
    <row r="397" ht="15.75" customHeight="1">
      <c r="N397" s="14"/>
    </row>
    <row r="398" ht="15.75" customHeight="1">
      <c r="N398" s="14"/>
    </row>
    <row r="399" ht="15.75" customHeight="1">
      <c r="N399" s="14"/>
    </row>
    <row r="400" ht="15.75" customHeight="1">
      <c r="N400" s="14"/>
    </row>
    <row r="401" ht="15.75" customHeight="1">
      <c r="N401" s="14"/>
    </row>
    <row r="402" ht="15.75" customHeight="1">
      <c r="N402" s="14"/>
    </row>
    <row r="403" ht="15.75" customHeight="1">
      <c r="N403" s="14"/>
    </row>
    <row r="404" ht="15.75" customHeight="1">
      <c r="N404" s="14"/>
    </row>
    <row r="405" ht="15.75" customHeight="1">
      <c r="N405" s="14"/>
    </row>
    <row r="406" ht="15.75" customHeight="1">
      <c r="N406" s="14"/>
    </row>
    <row r="407" ht="15.75" customHeight="1">
      <c r="N407" s="14"/>
    </row>
    <row r="408" ht="15.75" customHeight="1">
      <c r="N408" s="14"/>
    </row>
    <row r="409" ht="15.75" customHeight="1">
      <c r="N409" s="14"/>
    </row>
    <row r="410" ht="15.75" customHeight="1">
      <c r="N410" s="14"/>
    </row>
    <row r="411" ht="15.75" customHeight="1">
      <c r="N411" s="14"/>
    </row>
    <row r="412" ht="15.75" customHeight="1">
      <c r="N412" s="14"/>
    </row>
    <row r="413" ht="15.75" customHeight="1">
      <c r="N413" s="14"/>
    </row>
    <row r="414" ht="15.75" customHeight="1">
      <c r="N414" s="14"/>
    </row>
    <row r="415" ht="15.75" customHeight="1">
      <c r="N415" s="14"/>
    </row>
    <row r="416" ht="15.75" customHeight="1">
      <c r="N416" s="14"/>
    </row>
    <row r="417" ht="15.75" customHeight="1">
      <c r="N417" s="14"/>
    </row>
    <row r="418" ht="15.75" customHeight="1">
      <c r="N418" s="14"/>
    </row>
    <row r="419" ht="15.75" customHeight="1">
      <c r="N419" s="14"/>
    </row>
    <row r="420" ht="15.75" customHeight="1">
      <c r="N420" s="14"/>
    </row>
    <row r="421" ht="15.75" customHeight="1">
      <c r="N421" s="14"/>
    </row>
    <row r="422" ht="15.75" customHeight="1">
      <c r="N422" s="14"/>
    </row>
    <row r="423" ht="15.75" customHeight="1">
      <c r="N423" s="14"/>
    </row>
    <row r="424" ht="15.75" customHeight="1">
      <c r="N424" s="14"/>
    </row>
    <row r="425" ht="15.75" customHeight="1">
      <c r="N425" s="14"/>
    </row>
    <row r="426" ht="15.75" customHeight="1">
      <c r="N426" s="14"/>
    </row>
    <row r="427" ht="15.75" customHeight="1">
      <c r="N427" s="14"/>
    </row>
    <row r="428" ht="15.75" customHeight="1">
      <c r="N428" s="14"/>
    </row>
    <row r="429" ht="15.75" customHeight="1">
      <c r="N429" s="14"/>
    </row>
    <row r="430" ht="15.75" customHeight="1">
      <c r="N430" s="14"/>
    </row>
    <row r="431" ht="15.75" customHeight="1">
      <c r="N431" s="14"/>
    </row>
    <row r="432" ht="15.75" customHeight="1">
      <c r="N432" s="14"/>
    </row>
    <row r="433" ht="15.75" customHeight="1">
      <c r="N433" s="14"/>
    </row>
    <row r="434" ht="15.75" customHeight="1">
      <c r="N434" s="14"/>
    </row>
    <row r="435" ht="15.75" customHeight="1">
      <c r="N435" s="14"/>
    </row>
    <row r="436" ht="15.75" customHeight="1">
      <c r="N436" s="14"/>
    </row>
    <row r="437" ht="15.75" customHeight="1">
      <c r="N437" s="14"/>
    </row>
    <row r="438" ht="15.75" customHeight="1">
      <c r="N438" s="14"/>
    </row>
    <row r="439" ht="15.75" customHeight="1">
      <c r="N439" s="14"/>
    </row>
    <row r="440" ht="15.75" customHeight="1">
      <c r="N440" s="14"/>
    </row>
    <row r="441" ht="15.75" customHeight="1">
      <c r="N441" s="14"/>
    </row>
    <row r="442" ht="15.75" customHeight="1">
      <c r="N442" s="14"/>
    </row>
    <row r="443" ht="15.75" customHeight="1">
      <c r="N443" s="14"/>
    </row>
    <row r="444" ht="15.75" customHeight="1">
      <c r="N444" s="14"/>
    </row>
    <row r="445" ht="15.75" customHeight="1">
      <c r="N445" s="14"/>
    </row>
    <row r="446" ht="15.75" customHeight="1">
      <c r="N446" s="14"/>
    </row>
    <row r="447" ht="15.75" customHeight="1">
      <c r="N447" s="14"/>
    </row>
    <row r="448" ht="15.75" customHeight="1">
      <c r="N448" s="14"/>
    </row>
    <row r="449" ht="15.75" customHeight="1">
      <c r="N449" s="14"/>
    </row>
    <row r="450" ht="15.75" customHeight="1">
      <c r="N450" s="14"/>
    </row>
    <row r="451" ht="15.75" customHeight="1">
      <c r="N451" s="14"/>
    </row>
    <row r="452" ht="15.75" customHeight="1">
      <c r="N452" s="14"/>
    </row>
    <row r="453" ht="15.75" customHeight="1">
      <c r="N453" s="14"/>
    </row>
    <row r="454" ht="15.75" customHeight="1">
      <c r="N454" s="14"/>
    </row>
    <row r="455" ht="15.75" customHeight="1">
      <c r="N455" s="14"/>
    </row>
    <row r="456" ht="15.75" customHeight="1">
      <c r="N456" s="14"/>
    </row>
    <row r="457" ht="15.75" customHeight="1">
      <c r="N457" s="14"/>
    </row>
    <row r="458" ht="15.75" customHeight="1">
      <c r="N458" s="14"/>
    </row>
    <row r="459" ht="15.75" customHeight="1">
      <c r="N459" s="14"/>
    </row>
    <row r="460" ht="15.75" customHeight="1">
      <c r="N460" s="14"/>
    </row>
    <row r="461" ht="15.75" customHeight="1">
      <c r="N461" s="14"/>
    </row>
    <row r="462" ht="15.75" customHeight="1">
      <c r="N462" s="14"/>
    </row>
    <row r="463" ht="15.75" customHeight="1">
      <c r="N463" s="14"/>
    </row>
    <row r="464" ht="15.75" customHeight="1">
      <c r="N464" s="14"/>
    </row>
    <row r="465" ht="15.75" customHeight="1">
      <c r="N465" s="14"/>
    </row>
    <row r="466" ht="15.75" customHeight="1">
      <c r="N466" s="14"/>
    </row>
    <row r="467" ht="15.75" customHeight="1">
      <c r="N467" s="14"/>
    </row>
    <row r="468" ht="15.75" customHeight="1">
      <c r="N468" s="14"/>
    </row>
    <row r="469" ht="15.75" customHeight="1">
      <c r="N469" s="14"/>
    </row>
    <row r="470" ht="15.75" customHeight="1">
      <c r="N470" s="14"/>
    </row>
    <row r="471" ht="15.75" customHeight="1">
      <c r="N471" s="14"/>
    </row>
    <row r="472" ht="15.75" customHeight="1">
      <c r="N472" s="14"/>
    </row>
    <row r="473" ht="15.75" customHeight="1">
      <c r="N473" s="14"/>
    </row>
    <row r="474" ht="15.75" customHeight="1">
      <c r="N474" s="14"/>
    </row>
    <row r="475" ht="15.75" customHeight="1">
      <c r="N475" s="14"/>
    </row>
    <row r="476" ht="15.75" customHeight="1">
      <c r="N476" s="14"/>
    </row>
    <row r="477" ht="15.75" customHeight="1">
      <c r="N477" s="14"/>
    </row>
    <row r="478" ht="15.75" customHeight="1">
      <c r="N478" s="14"/>
    </row>
    <row r="479" ht="15.75" customHeight="1">
      <c r="N479" s="14"/>
    </row>
    <row r="480" ht="15.75" customHeight="1">
      <c r="N480" s="14"/>
    </row>
    <row r="481" ht="15.75" customHeight="1">
      <c r="N481" s="14"/>
    </row>
    <row r="482" ht="15.75" customHeight="1">
      <c r="N482" s="14"/>
    </row>
    <row r="483" ht="15.75" customHeight="1">
      <c r="N483" s="14"/>
    </row>
    <row r="484" ht="15.75" customHeight="1">
      <c r="N484" s="14"/>
    </row>
    <row r="485" ht="15.75" customHeight="1">
      <c r="N485" s="14"/>
    </row>
    <row r="486" ht="15.75" customHeight="1">
      <c r="N486" s="14"/>
    </row>
    <row r="487" ht="15.75" customHeight="1">
      <c r="N487" s="14"/>
    </row>
    <row r="488" ht="15.75" customHeight="1">
      <c r="N488" s="14"/>
    </row>
    <row r="489" ht="15.75" customHeight="1">
      <c r="N489" s="14"/>
    </row>
    <row r="490" ht="15.75" customHeight="1">
      <c r="N490" s="14"/>
    </row>
    <row r="491" ht="15.75" customHeight="1">
      <c r="N491" s="14"/>
    </row>
    <row r="492" ht="15.75" customHeight="1">
      <c r="N492" s="14"/>
    </row>
    <row r="493" ht="15.75" customHeight="1">
      <c r="N493" s="14"/>
    </row>
    <row r="494" ht="15.75" customHeight="1">
      <c r="N494" s="14"/>
    </row>
    <row r="495" ht="15.75" customHeight="1">
      <c r="N495" s="14"/>
    </row>
    <row r="496" ht="15.75" customHeight="1">
      <c r="N496" s="14"/>
    </row>
    <row r="497" ht="15.75" customHeight="1">
      <c r="N497" s="14"/>
    </row>
    <row r="498" ht="15.75" customHeight="1">
      <c r="N498" s="14"/>
    </row>
    <row r="499" ht="15.75" customHeight="1">
      <c r="N499" s="14"/>
    </row>
    <row r="500" ht="15.75" customHeight="1">
      <c r="N500" s="14"/>
    </row>
    <row r="501" ht="15.75" customHeight="1">
      <c r="N501" s="14"/>
    </row>
    <row r="502" ht="15.75" customHeight="1">
      <c r="N502" s="14"/>
    </row>
    <row r="503" ht="15.75" customHeight="1">
      <c r="N503" s="14"/>
    </row>
    <row r="504" ht="15.75" customHeight="1">
      <c r="N504" s="14"/>
    </row>
    <row r="505" ht="15.75" customHeight="1">
      <c r="N505" s="14"/>
    </row>
    <row r="506" ht="15.75" customHeight="1">
      <c r="N506" s="14"/>
    </row>
    <row r="507" ht="15.75" customHeight="1">
      <c r="N507" s="14"/>
    </row>
    <row r="508" ht="15.75" customHeight="1">
      <c r="N508" s="14"/>
    </row>
    <row r="509" ht="15.75" customHeight="1">
      <c r="N509" s="14"/>
    </row>
    <row r="510" ht="15.75" customHeight="1">
      <c r="N510" s="14"/>
    </row>
    <row r="511" ht="15.75" customHeight="1">
      <c r="N511" s="14"/>
    </row>
    <row r="512" ht="15.75" customHeight="1">
      <c r="N512" s="14"/>
    </row>
    <row r="513" ht="15.75" customHeight="1">
      <c r="N513" s="14"/>
    </row>
    <row r="514" ht="15.75" customHeight="1">
      <c r="N514" s="14"/>
    </row>
    <row r="515" ht="15.75" customHeight="1">
      <c r="N515" s="14"/>
    </row>
    <row r="516" ht="15.75" customHeight="1">
      <c r="N516" s="14"/>
    </row>
    <row r="517" ht="15.75" customHeight="1">
      <c r="N517" s="14"/>
    </row>
    <row r="518" ht="15.75" customHeight="1">
      <c r="N518" s="14"/>
    </row>
    <row r="519" ht="15.75" customHeight="1">
      <c r="N519" s="14"/>
    </row>
    <row r="520" ht="15.75" customHeight="1">
      <c r="N520" s="14"/>
    </row>
    <row r="521" ht="15.75" customHeight="1">
      <c r="N521" s="14"/>
    </row>
    <row r="522" ht="15.75" customHeight="1">
      <c r="N522" s="14"/>
    </row>
    <row r="523" ht="15.75" customHeight="1">
      <c r="N523" s="14"/>
    </row>
    <row r="524" ht="15.75" customHeight="1">
      <c r="N524" s="14"/>
    </row>
    <row r="525" ht="15.75" customHeight="1">
      <c r="N525" s="14"/>
    </row>
    <row r="526" ht="15.75" customHeight="1">
      <c r="N526" s="14"/>
    </row>
    <row r="527" ht="15.75" customHeight="1">
      <c r="N527" s="14"/>
    </row>
    <row r="528" ht="15.75" customHeight="1">
      <c r="N528" s="14"/>
    </row>
    <row r="529" ht="15.75" customHeight="1">
      <c r="N529" s="14"/>
    </row>
    <row r="530" ht="15.75" customHeight="1">
      <c r="N530" s="14"/>
    </row>
    <row r="531" ht="15.75" customHeight="1">
      <c r="N531" s="14"/>
    </row>
    <row r="532" ht="15.75" customHeight="1">
      <c r="N532" s="14"/>
    </row>
    <row r="533" ht="15.75" customHeight="1">
      <c r="N533" s="14"/>
    </row>
    <row r="534" ht="15.75" customHeight="1">
      <c r="N534" s="14"/>
    </row>
    <row r="535" ht="15.75" customHeight="1">
      <c r="N535" s="14"/>
    </row>
    <row r="536" ht="15.75" customHeight="1">
      <c r="N536" s="14"/>
    </row>
    <row r="537" ht="15.75" customHeight="1">
      <c r="N537" s="14"/>
    </row>
    <row r="538" ht="15.75" customHeight="1">
      <c r="N538" s="14"/>
    </row>
    <row r="539" ht="15.75" customHeight="1">
      <c r="N539" s="14"/>
    </row>
    <row r="540" ht="15.75" customHeight="1">
      <c r="N540" s="14"/>
    </row>
    <row r="541" ht="15.75" customHeight="1">
      <c r="N541" s="14"/>
    </row>
    <row r="542" ht="15.75" customHeight="1">
      <c r="N542" s="14"/>
    </row>
    <row r="543" ht="15.75" customHeight="1">
      <c r="N543" s="14"/>
    </row>
    <row r="544" ht="15.75" customHeight="1">
      <c r="N544" s="14"/>
    </row>
    <row r="545" ht="15.75" customHeight="1">
      <c r="N545" s="14"/>
    </row>
    <row r="546" ht="15.75" customHeight="1">
      <c r="N546" s="14"/>
    </row>
    <row r="547" ht="15.75" customHeight="1">
      <c r="N547" s="14"/>
    </row>
    <row r="548" ht="15.75" customHeight="1">
      <c r="N548" s="14"/>
    </row>
    <row r="549" ht="15.75" customHeight="1">
      <c r="N549" s="14"/>
    </row>
    <row r="550" ht="15.75" customHeight="1">
      <c r="N550" s="14"/>
    </row>
    <row r="551" ht="15.75" customHeight="1">
      <c r="N551" s="14"/>
    </row>
    <row r="552" ht="15.75" customHeight="1">
      <c r="N552" s="14"/>
    </row>
    <row r="553" ht="15.75" customHeight="1">
      <c r="N553" s="14"/>
    </row>
    <row r="554" ht="15.75" customHeight="1">
      <c r="N554" s="14"/>
    </row>
    <row r="555" ht="15.75" customHeight="1">
      <c r="N555" s="14"/>
    </row>
    <row r="556" ht="15.75" customHeight="1">
      <c r="N556" s="14"/>
    </row>
    <row r="557" ht="15.75" customHeight="1">
      <c r="N557" s="14"/>
    </row>
    <row r="558" ht="15.75" customHeight="1">
      <c r="N558" s="14"/>
    </row>
    <row r="559" ht="15.75" customHeight="1">
      <c r="N559" s="14"/>
    </row>
    <row r="560" ht="15.75" customHeight="1">
      <c r="N560" s="14"/>
    </row>
    <row r="561" ht="15.75" customHeight="1">
      <c r="N561" s="14"/>
    </row>
    <row r="562" ht="15.75" customHeight="1">
      <c r="N562" s="14"/>
    </row>
    <row r="563" ht="15.75" customHeight="1">
      <c r="N563" s="14"/>
    </row>
    <row r="564" ht="15.75" customHeight="1">
      <c r="N564" s="14"/>
    </row>
    <row r="565" ht="15.75" customHeight="1">
      <c r="N565" s="14"/>
    </row>
    <row r="566" ht="15.75" customHeight="1">
      <c r="N566" s="14"/>
    </row>
    <row r="567" ht="15.75" customHeight="1">
      <c r="N567" s="14"/>
    </row>
    <row r="568" ht="15.75" customHeight="1">
      <c r="N568" s="14"/>
    </row>
    <row r="569" ht="15.75" customHeight="1">
      <c r="N569" s="14"/>
    </row>
    <row r="570" ht="15.75" customHeight="1">
      <c r="N570" s="14"/>
    </row>
    <row r="571" ht="15.75" customHeight="1">
      <c r="N571" s="14"/>
    </row>
    <row r="572" ht="15.75" customHeight="1">
      <c r="N572" s="14"/>
    </row>
    <row r="573" ht="15.75" customHeight="1">
      <c r="N573" s="14"/>
    </row>
    <row r="574" ht="15.75" customHeight="1">
      <c r="N574" s="14"/>
    </row>
    <row r="575" ht="15.75" customHeight="1">
      <c r="N575" s="14"/>
    </row>
    <row r="576" ht="15.75" customHeight="1">
      <c r="N576" s="14"/>
    </row>
    <row r="577" ht="15.75" customHeight="1">
      <c r="N577" s="14"/>
    </row>
    <row r="578" ht="15.75" customHeight="1">
      <c r="N578" s="14"/>
    </row>
    <row r="579" ht="15.75" customHeight="1">
      <c r="N579" s="14"/>
    </row>
    <row r="580" ht="15.75" customHeight="1">
      <c r="N580" s="14"/>
    </row>
    <row r="581" ht="15.75" customHeight="1">
      <c r="N581" s="14"/>
    </row>
    <row r="582" ht="15.75" customHeight="1">
      <c r="N582" s="14"/>
    </row>
    <row r="583" ht="15.75" customHeight="1">
      <c r="N583" s="14"/>
    </row>
    <row r="584" ht="15.75" customHeight="1">
      <c r="N584" s="14"/>
    </row>
    <row r="585" ht="15.75" customHeight="1">
      <c r="N585" s="14"/>
    </row>
    <row r="586" ht="15.75" customHeight="1">
      <c r="N586" s="14"/>
    </row>
    <row r="587" ht="15.75" customHeight="1">
      <c r="N587" s="14"/>
    </row>
    <row r="588" ht="15.75" customHeight="1">
      <c r="N588" s="14"/>
    </row>
    <row r="589" ht="15.75" customHeight="1">
      <c r="N589" s="14"/>
    </row>
    <row r="590" ht="15.75" customHeight="1">
      <c r="N590" s="14"/>
    </row>
    <row r="591" ht="15.75" customHeight="1">
      <c r="N591" s="14"/>
    </row>
    <row r="592" ht="15.75" customHeight="1">
      <c r="N592" s="14"/>
    </row>
    <row r="593" ht="15.75" customHeight="1">
      <c r="N593" s="14"/>
    </row>
    <row r="594" ht="15.75" customHeight="1">
      <c r="N594" s="14"/>
    </row>
    <row r="595" ht="15.75" customHeight="1">
      <c r="N595" s="14"/>
    </row>
    <row r="596" ht="15.75" customHeight="1">
      <c r="N596" s="14"/>
    </row>
    <row r="597" ht="15.75" customHeight="1">
      <c r="N597" s="14"/>
    </row>
    <row r="598" ht="15.75" customHeight="1">
      <c r="N598" s="14"/>
    </row>
    <row r="599" ht="15.75" customHeight="1">
      <c r="N599" s="14"/>
    </row>
    <row r="600" ht="15.75" customHeight="1">
      <c r="N600" s="14"/>
    </row>
    <row r="601" ht="15.75" customHeight="1">
      <c r="N601" s="14"/>
    </row>
    <row r="602" ht="15.75" customHeight="1">
      <c r="N602" s="14"/>
    </row>
    <row r="603" ht="15.75" customHeight="1">
      <c r="N603" s="14"/>
    </row>
    <row r="604" ht="15.75" customHeight="1">
      <c r="N604" s="14"/>
    </row>
    <row r="605" ht="15.75" customHeight="1">
      <c r="N605" s="14"/>
    </row>
    <row r="606" ht="15.75" customHeight="1">
      <c r="N606" s="14"/>
    </row>
    <row r="607" ht="15.75" customHeight="1">
      <c r="N607" s="14"/>
    </row>
    <row r="608" ht="15.75" customHeight="1">
      <c r="N608" s="14"/>
    </row>
    <row r="609" ht="15.75" customHeight="1">
      <c r="N609" s="14"/>
    </row>
    <row r="610" ht="15.75" customHeight="1">
      <c r="N610" s="14"/>
    </row>
    <row r="611" ht="15.75" customHeight="1">
      <c r="N611" s="14"/>
    </row>
    <row r="612" ht="15.75" customHeight="1">
      <c r="N612" s="14"/>
    </row>
    <row r="613" ht="15.75" customHeight="1">
      <c r="N613" s="14"/>
    </row>
    <row r="614" ht="15.75" customHeight="1">
      <c r="N614" s="14"/>
    </row>
    <row r="615" ht="15.75" customHeight="1">
      <c r="N615" s="14"/>
    </row>
    <row r="616" ht="15.75" customHeight="1">
      <c r="N616" s="14"/>
    </row>
    <row r="617" ht="15.75" customHeight="1">
      <c r="N617" s="14"/>
    </row>
    <row r="618" ht="15.75" customHeight="1">
      <c r="N618" s="14"/>
    </row>
    <row r="619" ht="15.75" customHeight="1">
      <c r="N619" s="14"/>
    </row>
    <row r="620" ht="15.75" customHeight="1">
      <c r="N620" s="14"/>
    </row>
    <row r="621" ht="15.75" customHeight="1">
      <c r="N621" s="14"/>
    </row>
    <row r="622" ht="15.75" customHeight="1">
      <c r="N622" s="14"/>
    </row>
    <row r="623" ht="15.75" customHeight="1">
      <c r="N623" s="14"/>
    </row>
    <row r="624" ht="15.75" customHeight="1">
      <c r="N624" s="14"/>
    </row>
    <row r="625" ht="15.75" customHeight="1">
      <c r="N625" s="14"/>
    </row>
    <row r="626" ht="15.75" customHeight="1">
      <c r="N626" s="14"/>
    </row>
    <row r="627" ht="15.75" customHeight="1">
      <c r="N627" s="14"/>
    </row>
    <row r="628" ht="15.75" customHeight="1">
      <c r="N628" s="14"/>
    </row>
    <row r="629" ht="15.75" customHeight="1">
      <c r="N629" s="14"/>
    </row>
    <row r="630" ht="15.75" customHeight="1">
      <c r="N630" s="14"/>
    </row>
    <row r="631" ht="15.75" customHeight="1">
      <c r="N631" s="14"/>
    </row>
    <row r="632" ht="15.75" customHeight="1">
      <c r="N632" s="14"/>
    </row>
    <row r="633" ht="15.75" customHeight="1">
      <c r="N633" s="14"/>
    </row>
    <row r="634" ht="15.75" customHeight="1">
      <c r="N634" s="14"/>
    </row>
    <row r="635" ht="15.75" customHeight="1">
      <c r="N635" s="14"/>
    </row>
    <row r="636" ht="15.75" customHeight="1">
      <c r="N636" s="14"/>
    </row>
    <row r="637" ht="15.75" customHeight="1">
      <c r="N637" s="14"/>
    </row>
    <row r="638" ht="15.75" customHeight="1">
      <c r="N638" s="14"/>
    </row>
    <row r="639" ht="15.75" customHeight="1">
      <c r="N639" s="14"/>
    </row>
    <row r="640" ht="15.75" customHeight="1">
      <c r="N640" s="14"/>
    </row>
    <row r="641" ht="15.75" customHeight="1">
      <c r="N641" s="14"/>
    </row>
    <row r="642" ht="15.75" customHeight="1">
      <c r="N642" s="14"/>
    </row>
    <row r="643" ht="15.75" customHeight="1">
      <c r="N643" s="14"/>
    </row>
    <row r="644" ht="15.75" customHeight="1">
      <c r="N644" s="14"/>
    </row>
    <row r="645" ht="15.75" customHeight="1">
      <c r="N645" s="14"/>
    </row>
    <row r="646" ht="15.75" customHeight="1">
      <c r="N646" s="14"/>
    </row>
    <row r="647" ht="15.75" customHeight="1">
      <c r="N647" s="14"/>
    </row>
    <row r="648" ht="15.75" customHeight="1">
      <c r="N648" s="14"/>
    </row>
    <row r="649" ht="15.75" customHeight="1">
      <c r="N649" s="14"/>
    </row>
    <row r="650" ht="15.75" customHeight="1">
      <c r="N650" s="14"/>
    </row>
    <row r="651" ht="15.75" customHeight="1">
      <c r="N651" s="14"/>
    </row>
    <row r="652" ht="15.75" customHeight="1">
      <c r="N652" s="14"/>
    </row>
    <row r="653" ht="15.75" customHeight="1">
      <c r="N653" s="14"/>
    </row>
    <row r="654" ht="15.75" customHeight="1">
      <c r="N654" s="14"/>
    </row>
    <row r="655" ht="15.75" customHeight="1">
      <c r="N655" s="14"/>
    </row>
    <row r="656" ht="15.75" customHeight="1">
      <c r="N656" s="14"/>
    </row>
    <row r="657" ht="15.75" customHeight="1">
      <c r="N657" s="14"/>
    </row>
    <row r="658" ht="15.75" customHeight="1">
      <c r="N658" s="14"/>
    </row>
    <row r="659" ht="15.75" customHeight="1">
      <c r="N659" s="14"/>
    </row>
    <row r="660" ht="15.75" customHeight="1">
      <c r="N660" s="14"/>
    </row>
    <row r="661" ht="15.75" customHeight="1">
      <c r="N661" s="14"/>
    </row>
    <row r="662" ht="15.75" customHeight="1">
      <c r="N662" s="14"/>
    </row>
    <row r="663" ht="15.75" customHeight="1">
      <c r="N663" s="14"/>
    </row>
    <row r="664" ht="15.75" customHeight="1">
      <c r="N664" s="14"/>
    </row>
    <row r="665" ht="15.75" customHeight="1">
      <c r="N665" s="14"/>
    </row>
    <row r="666" ht="15.75" customHeight="1">
      <c r="N666" s="14"/>
    </row>
    <row r="667" ht="15.75" customHeight="1">
      <c r="N667" s="14"/>
    </row>
    <row r="668" ht="15.75" customHeight="1">
      <c r="N668" s="14"/>
    </row>
    <row r="669" ht="15.75" customHeight="1">
      <c r="N669" s="14"/>
    </row>
    <row r="670" ht="15.75" customHeight="1">
      <c r="N670" s="14"/>
    </row>
    <row r="671" ht="15.75" customHeight="1">
      <c r="N671" s="14"/>
    </row>
    <row r="672" ht="15.75" customHeight="1">
      <c r="N672" s="14"/>
    </row>
    <row r="673" ht="15.75" customHeight="1">
      <c r="N673" s="14"/>
    </row>
    <row r="674" ht="15.75" customHeight="1">
      <c r="N674" s="14"/>
    </row>
    <row r="675" ht="15.75" customHeight="1">
      <c r="N675" s="14"/>
    </row>
    <row r="676" ht="15.75" customHeight="1">
      <c r="N676" s="14"/>
    </row>
    <row r="677" ht="15.75" customHeight="1">
      <c r="N677" s="14"/>
    </row>
    <row r="678" ht="15.75" customHeight="1">
      <c r="N678" s="14"/>
    </row>
    <row r="679" ht="15.75" customHeight="1">
      <c r="N679" s="14"/>
    </row>
    <row r="680" ht="15.75" customHeight="1">
      <c r="N680" s="14"/>
    </row>
    <row r="681" ht="15.75" customHeight="1">
      <c r="N681" s="14"/>
    </row>
    <row r="682" ht="15.75" customHeight="1">
      <c r="N682" s="14"/>
    </row>
    <row r="683" ht="15.75" customHeight="1">
      <c r="N683" s="14"/>
    </row>
    <row r="684" ht="15.75" customHeight="1">
      <c r="N684" s="14"/>
    </row>
    <row r="685" ht="15.75" customHeight="1">
      <c r="N685" s="14"/>
    </row>
    <row r="686" ht="15.75" customHeight="1">
      <c r="N686" s="14"/>
    </row>
    <row r="687" ht="15.75" customHeight="1">
      <c r="N687" s="14"/>
    </row>
    <row r="688" ht="15.75" customHeight="1">
      <c r="N688" s="14"/>
    </row>
    <row r="689" ht="15.75" customHeight="1">
      <c r="N689" s="14"/>
    </row>
    <row r="690" ht="15.75" customHeight="1">
      <c r="N690" s="14"/>
    </row>
    <row r="691" ht="15.75" customHeight="1">
      <c r="N691" s="14"/>
    </row>
    <row r="692" ht="15.75" customHeight="1">
      <c r="N692" s="14"/>
    </row>
    <row r="693" ht="15.75" customHeight="1">
      <c r="N693" s="14"/>
    </row>
    <row r="694" ht="15.75" customHeight="1">
      <c r="N694" s="14"/>
    </row>
    <row r="695" ht="15.75" customHeight="1">
      <c r="N695" s="14"/>
    </row>
    <row r="696" ht="15.75" customHeight="1">
      <c r="N696" s="14"/>
    </row>
    <row r="697" ht="15.75" customHeight="1">
      <c r="N697" s="14"/>
    </row>
    <row r="698" ht="15.75" customHeight="1">
      <c r="N698" s="14"/>
    </row>
    <row r="699" ht="15.75" customHeight="1">
      <c r="N699" s="14"/>
    </row>
    <row r="700" ht="15.75" customHeight="1">
      <c r="N700" s="14"/>
    </row>
    <row r="701" ht="15.75" customHeight="1">
      <c r="N701" s="14"/>
    </row>
    <row r="702" ht="15.75" customHeight="1">
      <c r="N702" s="14"/>
    </row>
    <row r="703" ht="15.75" customHeight="1">
      <c r="N703" s="14"/>
    </row>
    <row r="704" ht="15.75" customHeight="1">
      <c r="N704" s="14"/>
    </row>
    <row r="705" ht="15.75" customHeight="1">
      <c r="N705" s="14"/>
    </row>
    <row r="706" ht="15.75" customHeight="1">
      <c r="N706" s="14"/>
    </row>
    <row r="707" ht="15.75" customHeight="1">
      <c r="N707" s="14"/>
    </row>
    <row r="708" ht="15.75" customHeight="1">
      <c r="N708" s="14"/>
    </row>
    <row r="709" ht="15.75" customHeight="1">
      <c r="N709" s="14"/>
    </row>
    <row r="710" ht="15.75" customHeight="1">
      <c r="N710" s="14"/>
    </row>
    <row r="711" ht="15.75" customHeight="1">
      <c r="N711" s="14"/>
    </row>
    <row r="712" ht="15.75" customHeight="1">
      <c r="N712" s="14"/>
    </row>
    <row r="713" ht="15.75" customHeight="1">
      <c r="N713" s="14"/>
    </row>
    <row r="714" ht="15.75" customHeight="1">
      <c r="N714" s="14"/>
    </row>
    <row r="715" ht="15.75" customHeight="1">
      <c r="N715" s="14"/>
    </row>
    <row r="716" ht="15.75" customHeight="1">
      <c r="N716" s="14"/>
    </row>
    <row r="717" ht="15.75" customHeight="1">
      <c r="N717" s="14"/>
    </row>
    <row r="718" ht="15.75" customHeight="1">
      <c r="N718" s="14"/>
    </row>
    <row r="719" ht="15.75" customHeight="1">
      <c r="N719" s="14"/>
    </row>
    <row r="720" ht="15.75" customHeight="1">
      <c r="N720" s="14"/>
    </row>
    <row r="721" ht="15.75" customHeight="1">
      <c r="N721" s="14"/>
    </row>
    <row r="722" ht="15.75" customHeight="1">
      <c r="N722" s="14"/>
    </row>
    <row r="723" ht="15.75" customHeight="1">
      <c r="N723" s="14"/>
    </row>
    <row r="724" ht="15.75" customHeight="1">
      <c r="N724" s="14"/>
    </row>
    <row r="725" ht="15.75" customHeight="1">
      <c r="N725" s="14"/>
    </row>
    <row r="726" ht="15.75" customHeight="1">
      <c r="N726" s="14"/>
    </row>
    <row r="727" ht="15.75" customHeight="1">
      <c r="N727" s="14"/>
    </row>
    <row r="728" ht="15.75" customHeight="1">
      <c r="N728" s="14"/>
    </row>
    <row r="729" ht="15.75" customHeight="1">
      <c r="N729" s="14"/>
    </row>
    <row r="730" ht="15.75" customHeight="1">
      <c r="N730" s="14"/>
    </row>
    <row r="731" ht="15.75" customHeight="1">
      <c r="N731" s="14"/>
    </row>
    <row r="732" ht="15.75" customHeight="1">
      <c r="N732" s="14"/>
    </row>
    <row r="733" ht="15.75" customHeight="1">
      <c r="N733" s="14"/>
    </row>
    <row r="734" ht="15.75" customHeight="1">
      <c r="N734" s="14"/>
    </row>
    <row r="735" ht="15.75" customHeight="1">
      <c r="N735" s="14"/>
    </row>
    <row r="736" ht="15.75" customHeight="1">
      <c r="N736" s="14"/>
    </row>
    <row r="737" ht="15.75" customHeight="1">
      <c r="N737" s="14"/>
    </row>
    <row r="738" ht="15.75" customHeight="1">
      <c r="N738" s="14"/>
    </row>
    <row r="739" ht="15.75" customHeight="1">
      <c r="N739" s="14"/>
    </row>
    <row r="740" ht="15.75" customHeight="1">
      <c r="N740" s="14"/>
    </row>
    <row r="741" ht="15.75" customHeight="1">
      <c r="N741" s="14"/>
    </row>
    <row r="742" ht="15.75" customHeight="1">
      <c r="N742" s="14"/>
    </row>
    <row r="743" ht="15.75" customHeight="1">
      <c r="N743" s="14"/>
    </row>
    <row r="744" ht="15.75" customHeight="1">
      <c r="N744" s="14"/>
    </row>
    <row r="745" ht="15.75" customHeight="1">
      <c r="N745" s="14"/>
    </row>
    <row r="746" ht="15.75" customHeight="1">
      <c r="N746" s="14"/>
    </row>
    <row r="747" ht="15.75" customHeight="1">
      <c r="N747" s="14"/>
    </row>
    <row r="748" ht="15.75" customHeight="1">
      <c r="N748" s="14"/>
    </row>
    <row r="749" ht="15.75" customHeight="1">
      <c r="N749" s="14"/>
    </row>
    <row r="750" ht="15.75" customHeight="1">
      <c r="N750" s="14"/>
    </row>
    <row r="751" ht="15.75" customHeight="1">
      <c r="N751" s="14"/>
    </row>
    <row r="752" ht="15.75" customHeight="1">
      <c r="N752" s="14"/>
    </row>
    <row r="753" ht="15.75" customHeight="1">
      <c r="N753" s="14"/>
    </row>
    <row r="754" ht="15.75" customHeight="1">
      <c r="N754" s="14"/>
    </row>
    <row r="755" ht="15.75" customHeight="1">
      <c r="N755" s="14"/>
    </row>
    <row r="756" ht="15.75" customHeight="1">
      <c r="N756" s="14"/>
    </row>
    <row r="757" ht="15.75" customHeight="1">
      <c r="N757" s="14"/>
    </row>
    <row r="758" ht="15.75" customHeight="1">
      <c r="N758" s="14"/>
    </row>
    <row r="759" ht="15.75" customHeight="1">
      <c r="N759" s="14"/>
    </row>
    <row r="760" ht="15.75" customHeight="1">
      <c r="N760" s="14"/>
    </row>
    <row r="761" ht="15.75" customHeight="1">
      <c r="N761" s="14"/>
    </row>
    <row r="762" ht="15.75" customHeight="1">
      <c r="N762" s="14"/>
    </row>
    <row r="763" ht="15.75" customHeight="1">
      <c r="N763" s="14"/>
    </row>
    <row r="764" ht="15.75" customHeight="1">
      <c r="N764" s="14"/>
    </row>
    <row r="765" ht="15.75" customHeight="1">
      <c r="N765" s="14"/>
    </row>
    <row r="766" ht="15.75" customHeight="1">
      <c r="N766" s="14"/>
    </row>
    <row r="767" ht="15.75" customHeight="1">
      <c r="N767" s="14"/>
    </row>
    <row r="768" ht="15.75" customHeight="1">
      <c r="N768" s="14"/>
    </row>
    <row r="769" ht="15.75" customHeight="1">
      <c r="N769" s="14"/>
    </row>
    <row r="770" ht="15.75" customHeight="1">
      <c r="N770" s="14"/>
    </row>
    <row r="771" ht="15.75" customHeight="1">
      <c r="N771" s="14"/>
    </row>
    <row r="772" ht="15.75" customHeight="1">
      <c r="N772" s="14"/>
    </row>
    <row r="773" ht="15.75" customHeight="1">
      <c r="N773" s="14"/>
    </row>
    <row r="774" ht="15.75" customHeight="1">
      <c r="N774" s="14"/>
    </row>
    <row r="775" ht="15.75" customHeight="1">
      <c r="N775" s="14"/>
    </row>
    <row r="776" ht="15.75" customHeight="1">
      <c r="N776" s="14"/>
    </row>
    <row r="777" ht="15.75" customHeight="1">
      <c r="N777" s="14"/>
    </row>
    <row r="778" ht="15.75" customHeight="1">
      <c r="N778" s="14"/>
    </row>
    <row r="779" ht="15.75" customHeight="1">
      <c r="N779" s="14"/>
    </row>
    <row r="780" ht="15.75" customHeight="1">
      <c r="N780" s="14"/>
    </row>
    <row r="781" ht="15.75" customHeight="1">
      <c r="N781" s="14"/>
    </row>
    <row r="782" ht="15.75" customHeight="1">
      <c r="N782" s="14"/>
    </row>
    <row r="783" ht="15.75" customHeight="1">
      <c r="N783" s="14"/>
    </row>
    <row r="784" ht="15.75" customHeight="1">
      <c r="N784" s="14"/>
    </row>
    <row r="785" ht="15.75" customHeight="1">
      <c r="N785" s="14"/>
    </row>
    <row r="786" ht="15.75" customHeight="1">
      <c r="N786" s="14"/>
    </row>
    <row r="787" ht="15.75" customHeight="1">
      <c r="N787" s="14"/>
    </row>
    <row r="788" ht="15.75" customHeight="1">
      <c r="N788" s="14"/>
    </row>
    <row r="789" ht="15.75" customHeight="1">
      <c r="N789" s="14"/>
    </row>
    <row r="790" ht="15.75" customHeight="1">
      <c r="N790" s="14"/>
    </row>
    <row r="791" ht="15.75" customHeight="1">
      <c r="N791" s="14"/>
    </row>
    <row r="792" ht="15.75" customHeight="1">
      <c r="N792" s="14"/>
    </row>
    <row r="793" ht="15.75" customHeight="1">
      <c r="N793" s="14"/>
    </row>
    <row r="794" ht="15.75" customHeight="1">
      <c r="N794" s="14"/>
    </row>
    <row r="795" ht="15.75" customHeight="1">
      <c r="N795" s="14"/>
    </row>
    <row r="796" ht="15.75" customHeight="1">
      <c r="N796" s="14"/>
    </row>
    <row r="797" ht="15.75" customHeight="1">
      <c r="N797" s="14"/>
    </row>
    <row r="798" ht="15.75" customHeight="1">
      <c r="N798" s="14"/>
    </row>
    <row r="799" ht="15.75" customHeight="1">
      <c r="N799" s="14"/>
    </row>
    <row r="800" ht="15.75" customHeight="1">
      <c r="N800" s="14"/>
    </row>
    <row r="801" ht="15.75" customHeight="1">
      <c r="N801" s="14"/>
    </row>
    <row r="802" ht="15.75" customHeight="1">
      <c r="N802" s="14"/>
    </row>
    <row r="803" ht="15.75" customHeight="1">
      <c r="N803" s="14"/>
    </row>
    <row r="804" ht="15.75" customHeight="1">
      <c r="N804" s="14"/>
    </row>
    <row r="805" ht="15.75" customHeight="1">
      <c r="N805" s="14"/>
    </row>
    <row r="806" ht="15.75" customHeight="1">
      <c r="N806" s="14"/>
    </row>
    <row r="807" ht="15.75" customHeight="1">
      <c r="N807" s="14"/>
    </row>
    <row r="808" ht="15.75" customHeight="1">
      <c r="N808" s="14"/>
    </row>
    <row r="809" ht="15.75" customHeight="1">
      <c r="N809" s="14"/>
    </row>
    <row r="810" ht="15.75" customHeight="1">
      <c r="N810" s="14"/>
    </row>
    <row r="811" ht="15.75" customHeight="1">
      <c r="N811" s="14"/>
    </row>
    <row r="812" ht="15.75" customHeight="1">
      <c r="N812" s="14"/>
    </row>
    <row r="813" ht="15.75" customHeight="1">
      <c r="N813" s="14"/>
    </row>
    <row r="814" ht="15.75" customHeight="1">
      <c r="N814" s="14"/>
    </row>
    <row r="815" ht="15.75" customHeight="1">
      <c r="N815" s="14"/>
    </row>
    <row r="816" ht="15.75" customHeight="1">
      <c r="N816" s="14"/>
    </row>
    <row r="817" ht="15.75" customHeight="1">
      <c r="N817" s="14"/>
    </row>
    <row r="818" ht="15.75" customHeight="1">
      <c r="N818" s="14"/>
    </row>
    <row r="819" ht="15.75" customHeight="1">
      <c r="N819" s="14"/>
    </row>
    <row r="820" ht="15.75" customHeight="1">
      <c r="N820" s="14"/>
    </row>
    <row r="821" ht="15.75" customHeight="1">
      <c r="N821" s="14"/>
    </row>
    <row r="822" ht="15.75" customHeight="1">
      <c r="N822" s="14"/>
    </row>
    <row r="823" ht="15.75" customHeight="1">
      <c r="N823" s="14"/>
    </row>
    <row r="824" ht="15.75" customHeight="1">
      <c r="N824" s="14"/>
    </row>
    <row r="825" ht="15.75" customHeight="1">
      <c r="N825" s="14"/>
    </row>
    <row r="826" ht="15.75" customHeight="1">
      <c r="N826" s="14"/>
    </row>
    <row r="827" ht="15.75" customHeight="1">
      <c r="N827" s="14"/>
    </row>
    <row r="828" ht="15.75" customHeight="1">
      <c r="N828" s="14"/>
    </row>
    <row r="829" ht="15.75" customHeight="1">
      <c r="N829" s="14"/>
    </row>
    <row r="830" ht="15.75" customHeight="1">
      <c r="N830" s="14"/>
    </row>
    <row r="831" ht="15.75" customHeight="1">
      <c r="N831" s="14"/>
    </row>
    <row r="832" ht="15.75" customHeight="1">
      <c r="N832" s="14"/>
    </row>
    <row r="833" ht="15.75" customHeight="1">
      <c r="N833" s="14"/>
    </row>
    <row r="834" ht="15.75" customHeight="1">
      <c r="N834" s="14"/>
    </row>
    <row r="835" ht="15.75" customHeight="1">
      <c r="N835" s="14"/>
    </row>
    <row r="836" ht="15.75" customHeight="1">
      <c r="N836" s="14"/>
    </row>
    <row r="837" ht="15.75" customHeight="1">
      <c r="N837" s="14"/>
    </row>
    <row r="838" ht="15.75" customHeight="1">
      <c r="N838" s="14"/>
    </row>
    <row r="839" ht="15.75" customHeight="1">
      <c r="N839" s="14"/>
    </row>
    <row r="840" ht="15.75" customHeight="1">
      <c r="N840" s="14"/>
    </row>
    <row r="841" ht="15.75" customHeight="1">
      <c r="N841" s="14"/>
    </row>
    <row r="842" ht="15.75" customHeight="1">
      <c r="N842" s="14"/>
    </row>
    <row r="843" ht="15.75" customHeight="1">
      <c r="N843" s="14"/>
    </row>
    <row r="844" ht="15.75" customHeight="1">
      <c r="N844" s="14"/>
    </row>
    <row r="845" ht="15.75" customHeight="1">
      <c r="N845" s="14"/>
    </row>
    <row r="846" ht="15.75" customHeight="1">
      <c r="N846" s="14"/>
    </row>
    <row r="847" ht="15.75" customHeight="1">
      <c r="N847" s="14"/>
    </row>
    <row r="848" ht="15.75" customHeight="1">
      <c r="N848" s="14"/>
    </row>
    <row r="849" ht="15.75" customHeight="1">
      <c r="N849" s="14"/>
    </row>
    <row r="850" ht="15.75" customHeight="1">
      <c r="N850" s="14"/>
    </row>
    <row r="851" ht="15.75" customHeight="1">
      <c r="N851" s="14"/>
    </row>
    <row r="852" ht="15.75" customHeight="1">
      <c r="N852" s="14"/>
    </row>
    <row r="853" ht="15.75" customHeight="1">
      <c r="N853" s="14"/>
    </row>
    <row r="854" ht="15.75" customHeight="1">
      <c r="N854" s="14"/>
    </row>
    <row r="855" ht="15.75" customHeight="1">
      <c r="N855" s="14"/>
    </row>
    <row r="856" ht="15.75" customHeight="1">
      <c r="N856" s="14"/>
    </row>
    <row r="857" ht="15.75" customHeight="1">
      <c r="N857" s="14"/>
    </row>
    <row r="858" ht="15.75" customHeight="1">
      <c r="N858" s="14"/>
    </row>
    <row r="859" ht="15.75" customHeight="1">
      <c r="N859" s="14"/>
    </row>
    <row r="860" ht="15.75" customHeight="1">
      <c r="N860" s="14"/>
    </row>
    <row r="861" ht="15.75" customHeight="1">
      <c r="N861" s="14"/>
    </row>
    <row r="862" ht="15.75" customHeight="1">
      <c r="N862" s="14"/>
    </row>
    <row r="863" ht="15.75" customHeight="1">
      <c r="N863" s="14"/>
    </row>
    <row r="864" ht="15.75" customHeight="1">
      <c r="N864" s="14"/>
    </row>
    <row r="865" ht="15.75" customHeight="1">
      <c r="N865" s="14"/>
    </row>
    <row r="866" ht="15.75" customHeight="1">
      <c r="N866" s="14"/>
    </row>
    <row r="867" ht="15.75" customHeight="1">
      <c r="N867" s="14"/>
    </row>
    <row r="868" ht="15.75" customHeight="1">
      <c r="N868" s="14"/>
    </row>
    <row r="869" ht="15.75" customHeight="1">
      <c r="N869" s="14"/>
    </row>
    <row r="870" ht="15.75" customHeight="1">
      <c r="N870" s="14"/>
    </row>
    <row r="871" ht="15.75" customHeight="1">
      <c r="N871" s="14"/>
    </row>
    <row r="872" ht="15.75" customHeight="1">
      <c r="N872" s="14"/>
    </row>
    <row r="873" ht="15.75" customHeight="1">
      <c r="N873" s="14"/>
    </row>
    <row r="874" ht="15.75" customHeight="1">
      <c r="N874" s="14"/>
    </row>
    <row r="875" ht="15.75" customHeight="1">
      <c r="N875" s="14"/>
    </row>
    <row r="876" ht="15.75" customHeight="1">
      <c r="N876" s="14"/>
    </row>
    <row r="877" ht="15.75" customHeight="1">
      <c r="N877" s="14"/>
    </row>
    <row r="878" ht="15.75" customHeight="1">
      <c r="N878" s="14"/>
    </row>
    <row r="879" ht="15.75" customHeight="1">
      <c r="N879" s="14"/>
    </row>
    <row r="880" ht="15.75" customHeight="1">
      <c r="N880" s="14"/>
    </row>
    <row r="881" ht="15.75" customHeight="1">
      <c r="N881" s="14"/>
    </row>
    <row r="882" ht="15.75" customHeight="1">
      <c r="N882" s="14"/>
    </row>
    <row r="883" ht="15.75" customHeight="1">
      <c r="N883" s="14"/>
    </row>
    <row r="884" ht="15.75" customHeight="1">
      <c r="N884" s="14"/>
    </row>
    <row r="885" ht="15.75" customHeight="1">
      <c r="N885" s="14"/>
    </row>
    <row r="886" ht="15.75" customHeight="1">
      <c r="N886" s="14"/>
    </row>
    <row r="887" ht="15.75" customHeight="1">
      <c r="N887" s="14"/>
    </row>
    <row r="888" ht="15.75" customHeight="1">
      <c r="N888" s="14"/>
    </row>
    <row r="889" ht="15.75" customHeight="1">
      <c r="N889" s="14"/>
    </row>
    <row r="890" ht="15.75" customHeight="1">
      <c r="N890" s="14"/>
    </row>
    <row r="891" ht="15.75" customHeight="1">
      <c r="N891" s="14"/>
    </row>
    <row r="892" ht="15.75" customHeight="1">
      <c r="N892" s="14"/>
    </row>
    <row r="893" ht="15.75" customHeight="1">
      <c r="N893" s="14"/>
    </row>
    <row r="894" ht="15.75" customHeight="1">
      <c r="N894" s="14"/>
    </row>
    <row r="895" ht="15.75" customHeight="1">
      <c r="N895" s="14"/>
    </row>
    <row r="896" ht="15.75" customHeight="1">
      <c r="N896" s="14"/>
    </row>
    <row r="897" ht="15.75" customHeight="1">
      <c r="N897" s="14"/>
    </row>
    <row r="898" ht="15.75" customHeight="1">
      <c r="N898" s="14"/>
    </row>
    <row r="899" ht="15.75" customHeight="1">
      <c r="N899" s="14"/>
    </row>
    <row r="900" ht="15.75" customHeight="1">
      <c r="N900" s="14"/>
    </row>
    <row r="901" ht="15.75" customHeight="1">
      <c r="N901" s="14"/>
    </row>
    <row r="902" ht="15.75" customHeight="1">
      <c r="N902" s="14"/>
    </row>
    <row r="903" ht="15.75" customHeight="1">
      <c r="N903" s="14"/>
    </row>
    <row r="904" ht="15.75" customHeight="1">
      <c r="N904" s="14"/>
    </row>
    <row r="905" ht="15.75" customHeight="1">
      <c r="N905" s="14"/>
    </row>
    <row r="906" ht="15.75" customHeight="1">
      <c r="N906" s="14"/>
    </row>
    <row r="907" ht="15.75" customHeight="1">
      <c r="N907" s="14"/>
    </row>
    <row r="908" ht="15.75" customHeight="1">
      <c r="N908" s="14"/>
    </row>
    <row r="909" ht="15.75" customHeight="1">
      <c r="N909" s="14"/>
    </row>
    <row r="910" ht="15.75" customHeight="1">
      <c r="N910" s="14"/>
    </row>
    <row r="911" ht="15.75" customHeight="1">
      <c r="N911" s="14"/>
    </row>
    <row r="912" ht="15.75" customHeight="1">
      <c r="N912" s="14"/>
    </row>
    <row r="913" ht="15.75" customHeight="1">
      <c r="N913" s="14"/>
    </row>
    <row r="914" ht="15.75" customHeight="1">
      <c r="N914" s="14"/>
    </row>
    <row r="915" ht="15.75" customHeight="1">
      <c r="N915" s="14"/>
    </row>
    <row r="916" ht="15.75" customHeight="1">
      <c r="N916" s="14"/>
    </row>
    <row r="917" ht="15.75" customHeight="1">
      <c r="N917" s="14"/>
    </row>
    <row r="918" ht="15.75" customHeight="1">
      <c r="N918" s="14"/>
    </row>
    <row r="919" ht="15.75" customHeight="1">
      <c r="N919" s="14"/>
    </row>
    <row r="920" ht="15.75" customHeight="1">
      <c r="N920" s="14"/>
    </row>
    <row r="921" ht="15.75" customHeight="1">
      <c r="N921" s="14"/>
    </row>
    <row r="922" ht="15.75" customHeight="1">
      <c r="N922" s="14"/>
    </row>
    <row r="923" ht="15.75" customHeight="1">
      <c r="N923" s="14"/>
    </row>
    <row r="924" ht="15.75" customHeight="1">
      <c r="N924" s="14"/>
    </row>
    <row r="925" ht="15.75" customHeight="1">
      <c r="N925" s="14"/>
    </row>
    <row r="926" ht="15.75" customHeight="1">
      <c r="N926" s="14"/>
    </row>
    <row r="927" ht="15.75" customHeight="1">
      <c r="N927" s="14"/>
    </row>
    <row r="928" ht="15.75" customHeight="1">
      <c r="N928" s="14"/>
    </row>
    <row r="929" ht="15.75" customHeight="1">
      <c r="N929" s="14"/>
    </row>
    <row r="930" ht="15.75" customHeight="1">
      <c r="N930" s="14"/>
    </row>
    <row r="931" ht="15.75" customHeight="1">
      <c r="N931" s="14"/>
    </row>
    <row r="932" ht="15.75" customHeight="1">
      <c r="N932" s="14"/>
    </row>
    <row r="933" ht="15.75" customHeight="1">
      <c r="N933" s="14"/>
    </row>
    <row r="934" ht="15.75" customHeight="1">
      <c r="N934" s="14"/>
    </row>
    <row r="935" ht="15.75" customHeight="1">
      <c r="N935" s="14"/>
    </row>
    <row r="936" ht="15.75" customHeight="1">
      <c r="N936" s="14"/>
    </row>
    <row r="937" ht="15.75" customHeight="1">
      <c r="N937" s="14"/>
    </row>
    <row r="938" ht="15.75" customHeight="1">
      <c r="N938" s="14"/>
    </row>
    <row r="939" ht="15.75" customHeight="1">
      <c r="N939" s="14"/>
    </row>
    <row r="940" ht="15.75" customHeight="1">
      <c r="N940" s="14"/>
    </row>
    <row r="941" ht="15.75" customHeight="1">
      <c r="N941" s="14"/>
    </row>
    <row r="942" ht="15.75" customHeight="1">
      <c r="N942" s="14"/>
    </row>
    <row r="943" ht="15.75" customHeight="1">
      <c r="N943" s="14"/>
    </row>
    <row r="944" ht="15.75" customHeight="1">
      <c r="N944" s="14"/>
    </row>
    <row r="945" ht="15.75" customHeight="1">
      <c r="N945" s="14"/>
    </row>
    <row r="946" ht="15.75" customHeight="1">
      <c r="N946" s="14"/>
    </row>
    <row r="947" ht="15.75" customHeight="1">
      <c r="N947" s="14"/>
    </row>
    <row r="948" ht="15.75" customHeight="1">
      <c r="N948" s="14"/>
    </row>
    <row r="949" ht="15.75" customHeight="1">
      <c r="N949" s="14"/>
    </row>
    <row r="950" ht="15.75" customHeight="1">
      <c r="N950" s="14"/>
    </row>
    <row r="951" ht="15.75" customHeight="1">
      <c r="N951" s="14"/>
    </row>
    <row r="952" ht="15.75" customHeight="1">
      <c r="N952" s="14"/>
    </row>
    <row r="953" ht="15.75" customHeight="1">
      <c r="N953" s="14"/>
    </row>
    <row r="954" ht="15.75" customHeight="1">
      <c r="N954" s="14"/>
    </row>
    <row r="955" ht="15.75" customHeight="1">
      <c r="N955" s="14"/>
    </row>
    <row r="956" ht="15.75" customHeight="1">
      <c r="N956" s="14"/>
    </row>
    <row r="957" ht="15.75" customHeight="1">
      <c r="N957" s="14"/>
    </row>
    <row r="958" ht="15.75" customHeight="1">
      <c r="N958" s="14"/>
    </row>
    <row r="959" ht="15.75" customHeight="1">
      <c r="N959" s="14"/>
    </row>
    <row r="960" ht="15.75" customHeight="1">
      <c r="N960" s="14"/>
    </row>
    <row r="961" ht="15.75" customHeight="1">
      <c r="N961" s="14"/>
    </row>
    <row r="962" ht="15.75" customHeight="1">
      <c r="N962" s="14"/>
    </row>
    <row r="963" ht="15.75" customHeight="1">
      <c r="N963" s="14"/>
    </row>
    <row r="964" ht="15.75" customHeight="1">
      <c r="N964" s="14"/>
    </row>
    <row r="965" ht="15.75" customHeight="1">
      <c r="N965" s="14"/>
    </row>
    <row r="966" ht="15.75" customHeight="1">
      <c r="N966" s="14"/>
    </row>
    <row r="967" ht="15.75" customHeight="1">
      <c r="N967" s="14"/>
    </row>
    <row r="968" ht="15.75" customHeight="1">
      <c r="N968" s="14"/>
    </row>
    <row r="969" ht="15.75" customHeight="1">
      <c r="N969" s="14"/>
    </row>
    <row r="970" ht="15.75" customHeight="1">
      <c r="N970" s="14"/>
    </row>
    <row r="971" ht="15.75" customHeight="1">
      <c r="N971" s="14"/>
    </row>
    <row r="972" ht="15.75" customHeight="1">
      <c r="N972" s="14"/>
    </row>
    <row r="973" ht="15.75" customHeight="1">
      <c r="N973" s="14"/>
    </row>
    <row r="974" ht="15.75" customHeight="1">
      <c r="N974" s="14"/>
    </row>
    <row r="975" ht="15.75" customHeight="1">
      <c r="N975" s="14"/>
    </row>
    <row r="976" ht="15.75" customHeight="1">
      <c r="N976" s="14"/>
    </row>
    <row r="977" ht="15.75" customHeight="1">
      <c r="N977" s="14"/>
    </row>
    <row r="978" ht="15.75" customHeight="1">
      <c r="N978" s="14"/>
    </row>
    <row r="979" ht="15.75" customHeight="1">
      <c r="N979" s="14"/>
    </row>
    <row r="980" ht="15.75" customHeight="1">
      <c r="N980" s="14"/>
    </row>
    <row r="981" ht="15.75" customHeight="1">
      <c r="N981" s="14"/>
    </row>
    <row r="982" ht="15.75" customHeight="1">
      <c r="N982" s="14"/>
    </row>
    <row r="983" ht="15.75" customHeight="1">
      <c r="N983" s="14"/>
    </row>
    <row r="984" ht="15.75" customHeight="1">
      <c r="N984" s="14"/>
    </row>
    <row r="985" ht="15.75" customHeight="1">
      <c r="N985" s="14"/>
    </row>
    <row r="986" ht="15.75" customHeight="1">
      <c r="N986" s="14"/>
    </row>
    <row r="987" ht="15.75" customHeight="1">
      <c r="N987" s="14"/>
    </row>
    <row r="988" ht="15.75" customHeight="1">
      <c r="N988" s="14"/>
    </row>
    <row r="989" ht="15.75" customHeight="1">
      <c r="N989" s="14"/>
    </row>
    <row r="990" ht="15.75" customHeight="1">
      <c r="N990" s="14"/>
    </row>
    <row r="991" ht="15.75" customHeight="1">
      <c r="N991" s="14"/>
    </row>
    <row r="992" ht="15.75" customHeight="1">
      <c r="N992" s="14"/>
    </row>
    <row r="993" ht="15.75" customHeight="1">
      <c r="N993" s="14"/>
    </row>
    <row r="994" ht="15.75" customHeight="1">
      <c r="N994" s="14"/>
    </row>
    <row r="995" ht="15.75" customHeight="1">
      <c r="N995" s="14"/>
    </row>
    <row r="996" ht="15.75" customHeight="1">
      <c r="N996" s="14"/>
    </row>
    <row r="997" ht="15.75" customHeight="1">
      <c r="N997" s="14"/>
    </row>
    <row r="998" ht="15.75" customHeight="1">
      <c r="N998" s="14"/>
    </row>
    <row r="999" ht="15.75" customHeight="1">
      <c r="N999" s="14"/>
    </row>
    <row r="1000" ht="15.75" customHeight="1">
      <c r="N1000" s="14"/>
    </row>
  </sheetData>
  <mergeCells count="1">
    <mergeCell ref="AF8:AG11"/>
  </mergeCells>
  <printOptions/>
  <pageMargins bottom="0.75" footer="0.0" header="0.0" left="0.7" right="0.7" top="0.75"/>
  <pageSetup orientation="portrait"/>
  <drawing r:id="rId1"/>
</worksheet>
</file>